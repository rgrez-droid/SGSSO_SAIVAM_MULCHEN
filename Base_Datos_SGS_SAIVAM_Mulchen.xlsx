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cer\Desktop\STREAMLIT WEB\SISTEMA DE GETION SSO - SAIVAM Cto. MULCHEN\"/>
    </mc:Choice>
  </mc:AlternateContent>
  <xr:revisionPtr revIDLastSave="0" documentId="13_ncr:20001_{A1376B92-0B0E-47CF-9AB3-6E9EB9E146F2}" xr6:coauthVersionLast="47" xr6:coauthVersionMax="47" xr10:uidLastSave="{00000000-0000-0000-0000-000000000000}"/>
  <bookViews>
    <workbookView xWindow="19090" yWindow="-110" windowWidth="19420" windowHeight="11020" firstSheet="4" activeTab="4" xr2:uid="{00000000-000D-0000-FFFF-FFFF00000000}"/>
  </bookViews>
  <sheets>
    <sheet name="Inicio" sheetId="1" r:id="rId1"/>
    <sheet name="Listas" sheetId="2" r:id="rId2"/>
    <sheet name="PRG_SSO_2026" sheetId="3" r:id="rId3"/>
    <sheet name="Reportabilidad" sheetId="4" r:id="rId4"/>
    <sheet name="Observaciones_SSO_BAPP" sheetId="5" r:id="rId5"/>
    <sheet name="Inspecciones_Seguridad" sheetId="6" r:id="rId6"/>
    <sheet name="Control_Operacional" sheetId="7" r:id="rId7"/>
    <sheet name="Capacitaciones" sheetId="8" r:id="rId8"/>
    <sheet name="Reconocimientos" sheetId="9" r:id="rId9"/>
    <sheet name="Comite_Paritario" sheetId="10" r:id="rId10"/>
    <sheet name="Protocolos_MINSAL" sheetId="11" r:id="rId11"/>
    <sheet name="Certificaciones" sheetId="12" r:id="rId12"/>
    <sheet name="Configuracion" sheetId="13" r:id="rId13"/>
    <sheet name="KPI_SSO" sheetId="14" r:id="rId1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" i="5" l="1"/>
  <c r="O2" i="5"/>
  <c r="Q2" i="5" s="1"/>
  <c r="O3" i="5"/>
  <c r="Q3" i="5" s="1"/>
  <c r="O4" i="5"/>
  <c r="Q4" i="5" s="1"/>
  <c r="O5" i="5"/>
  <c r="Q5" i="5" s="1"/>
  <c r="O6" i="5"/>
  <c r="Q6" i="5" s="1"/>
  <c r="O7" i="5"/>
  <c r="O9" i="5"/>
  <c r="Q9" i="5" s="1"/>
  <c r="D8" i="5"/>
  <c r="E8" i="5"/>
  <c r="F8" i="5"/>
  <c r="G8" i="5"/>
  <c r="H8" i="5"/>
  <c r="C8" i="5"/>
  <c r="D11" i="5"/>
  <c r="E11" i="5"/>
  <c r="F11" i="5"/>
  <c r="G11" i="5"/>
  <c r="H11" i="5"/>
  <c r="C11" i="5"/>
  <c r="Q7" i="5" l="1"/>
  <c r="B14" i="14"/>
  <c r="B13" i="14"/>
  <c r="B12" i="14"/>
  <c r="E11" i="14"/>
  <c r="B11" i="14"/>
  <c r="E10" i="14"/>
  <c r="B10" i="14"/>
  <c r="E8" i="14" s="1"/>
  <c r="E9" i="14"/>
  <c r="B9" i="14"/>
  <c r="E7" i="14" s="1"/>
  <c r="B8" i="14"/>
  <c r="B7" i="14"/>
  <c r="E6" i="14" s="1"/>
  <c r="B6" i="14"/>
  <c r="H500" i="12"/>
  <c r="G500" i="12"/>
  <c r="H499" i="12"/>
  <c r="G499" i="12"/>
  <c r="H498" i="12"/>
  <c r="G498" i="12"/>
  <c r="H497" i="12"/>
  <c r="G497" i="12"/>
  <c r="H496" i="12"/>
  <c r="G496" i="12"/>
  <c r="H495" i="12"/>
  <c r="G495" i="12"/>
  <c r="H494" i="12"/>
  <c r="G494" i="12"/>
  <c r="H493" i="12"/>
  <c r="G493" i="12"/>
  <c r="H492" i="12"/>
  <c r="G492" i="12"/>
  <c r="H491" i="12"/>
  <c r="G491" i="12"/>
  <c r="H490" i="12"/>
  <c r="G490" i="12"/>
  <c r="H489" i="12"/>
  <c r="G489" i="12"/>
  <c r="H488" i="12"/>
  <c r="G488" i="12"/>
  <c r="H487" i="12"/>
  <c r="G487" i="12"/>
  <c r="H486" i="12"/>
  <c r="G486" i="12"/>
  <c r="H485" i="12"/>
  <c r="G485" i="12"/>
  <c r="H484" i="12"/>
  <c r="G484" i="12"/>
  <c r="H483" i="12"/>
  <c r="G483" i="12"/>
  <c r="H482" i="12"/>
  <c r="G482" i="12"/>
  <c r="H481" i="12"/>
  <c r="G481" i="12"/>
  <c r="H480" i="12"/>
  <c r="G480" i="12"/>
  <c r="H479" i="12"/>
  <c r="G479" i="12"/>
  <c r="H478" i="12"/>
  <c r="G478" i="12"/>
  <c r="H477" i="12"/>
  <c r="G477" i="12"/>
  <c r="H476" i="12"/>
  <c r="G476" i="12"/>
  <c r="H475" i="12"/>
  <c r="G475" i="12"/>
  <c r="H474" i="12"/>
  <c r="G474" i="12"/>
  <c r="H473" i="12"/>
  <c r="G473" i="12"/>
  <c r="H472" i="12"/>
  <c r="G472" i="12"/>
  <c r="H471" i="12"/>
  <c r="G471" i="12"/>
  <c r="H470" i="12"/>
  <c r="G470" i="12"/>
  <c r="H469" i="12"/>
  <c r="G469" i="12"/>
  <c r="H468" i="12"/>
  <c r="G468" i="12"/>
  <c r="H467" i="12"/>
  <c r="G467" i="12"/>
  <c r="H466" i="12"/>
  <c r="G466" i="12"/>
  <c r="H465" i="12"/>
  <c r="G465" i="12"/>
  <c r="H464" i="12"/>
  <c r="G464" i="12"/>
  <c r="H463" i="12"/>
  <c r="G463" i="12"/>
  <c r="H462" i="12"/>
  <c r="G462" i="12"/>
  <c r="H461" i="12"/>
  <c r="G461" i="12"/>
  <c r="H460" i="12"/>
  <c r="G460" i="12"/>
  <c r="H459" i="12"/>
  <c r="G459" i="12"/>
  <c r="H458" i="12"/>
  <c r="G458" i="12"/>
  <c r="H457" i="12"/>
  <c r="G457" i="12"/>
  <c r="H456" i="12"/>
  <c r="G456" i="12"/>
  <c r="H455" i="12"/>
  <c r="G455" i="12"/>
  <c r="H454" i="12"/>
  <c r="G454" i="12"/>
  <c r="H453" i="12"/>
  <c r="G453" i="12"/>
  <c r="H452" i="12"/>
  <c r="G452" i="12"/>
  <c r="H451" i="12"/>
  <c r="G451" i="12"/>
  <c r="H450" i="12"/>
  <c r="G450" i="12"/>
  <c r="H449" i="12"/>
  <c r="G449" i="12"/>
  <c r="H448" i="12"/>
  <c r="G448" i="12"/>
  <c r="H447" i="12"/>
  <c r="G447" i="12"/>
  <c r="H446" i="12"/>
  <c r="G446" i="12"/>
  <c r="H445" i="12"/>
  <c r="G445" i="12"/>
  <c r="H444" i="12"/>
  <c r="G444" i="12"/>
  <c r="H443" i="12"/>
  <c r="G443" i="12"/>
  <c r="H442" i="12"/>
  <c r="G442" i="12"/>
  <c r="H441" i="12"/>
  <c r="G441" i="12"/>
  <c r="H440" i="12"/>
  <c r="G440" i="12"/>
  <c r="H439" i="12"/>
  <c r="G439" i="12"/>
  <c r="H438" i="12"/>
  <c r="G438" i="12"/>
  <c r="H437" i="12"/>
  <c r="G437" i="12"/>
  <c r="H436" i="12"/>
  <c r="G436" i="12"/>
  <c r="H435" i="12"/>
  <c r="G435" i="12"/>
  <c r="H434" i="12"/>
  <c r="G434" i="12"/>
  <c r="H433" i="12"/>
  <c r="G433" i="12"/>
  <c r="H432" i="12"/>
  <c r="G432" i="12"/>
  <c r="H431" i="12"/>
  <c r="G431" i="12"/>
  <c r="H430" i="12"/>
  <c r="G430" i="12"/>
  <c r="H429" i="12"/>
  <c r="G429" i="12"/>
  <c r="H428" i="12"/>
  <c r="G428" i="12"/>
  <c r="H427" i="12"/>
  <c r="G427" i="12"/>
  <c r="H426" i="12"/>
  <c r="G426" i="12"/>
  <c r="H425" i="12"/>
  <c r="G425" i="12"/>
  <c r="H424" i="12"/>
  <c r="G424" i="12"/>
  <c r="H423" i="12"/>
  <c r="G423" i="12"/>
  <c r="H422" i="12"/>
  <c r="G422" i="12"/>
  <c r="H421" i="12"/>
  <c r="G421" i="12"/>
  <c r="H420" i="12"/>
  <c r="G420" i="12"/>
  <c r="H419" i="12"/>
  <c r="G419" i="12"/>
  <c r="H418" i="12"/>
  <c r="G418" i="12"/>
  <c r="H417" i="12"/>
  <c r="G417" i="12"/>
  <c r="H416" i="12"/>
  <c r="G416" i="12"/>
  <c r="H415" i="12"/>
  <c r="G415" i="12"/>
  <c r="H414" i="12"/>
  <c r="G414" i="12"/>
  <c r="H413" i="12"/>
  <c r="G413" i="12"/>
  <c r="H412" i="12"/>
  <c r="G412" i="12"/>
  <c r="H411" i="12"/>
  <c r="G411" i="12"/>
  <c r="H410" i="12"/>
  <c r="G410" i="12"/>
  <c r="H409" i="12"/>
  <c r="G409" i="12"/>
  <c r="H408" i="12"/>
  <c r="G408" i="12"/>
  <c r="H407" i="12"/>
  <c r="G407" i="12"/>
  <c r="H406" i="12"/>
  <c r="G406" i="12"/>
  <c r="H405" i="12"/>
  <c r="G405" i="12"/>
  <c r="H404" i="12"/>
  <c r="G404" i="12"/>
  <c r="H403" i="12"/>
  <c r="G403" i="12"/>
  <c r="H402" i="12"/>
  <c r="G402" i="12"/>
  <c r="H401" i="12"/>
  <c r="G401" i="12"/>
  <c r="H400" i="12"/>
  <c r="G400" i="12"/>
  <c r="H399" i="12"/>
  <c r="G399" i="12"/>
  <c r="H398" i="12"/>
  <c r="G398" i="12"/>
  <c r="H397" i="12"/>
  <c r="G397" i="12"/>
  <c r="H396" i="12"/>
  <c r="G396" i="12"/>
  <c r="H395" i="12"/>
  <c r="G395" i="12"/>
  <c r="H394" i="12"/>
  <c r="G394" i="12"/>
  <c r="H393" i="12"/>
  <c r="G393" i="12"/>
  <c r="H392" i="12"/>
  <c r="G392" i="12"/>
  <c r="H391" i="12"/>
  <c r="G391" i="12"/>
  <c r="H390" i="12"/>
  <c r="G390" i="12"/>
  <c r="H389" i="12"/>
  <c r="G389" i="12"/>
  <c r="H388" i="12"/>
  <c r="G388" i="12"/>
  <c r="H387" i="12"/>
  <c r="G387" i="12"/>
  <c r="H386" i="12"/>
  <c r="G386" i="12"/>
  <c r="H385" i="12"/>
  <c r="G385" i="12"/>
  <c r="H384" i="12"/>
  <c r="G384" i="12"/>
  <c r="H383" i="12"/>
  <c r="G383" i="12"/>
  <c r="H382" i="12"/>
  <c r="G382" i="12"/>
  <c r="H381" i="12"/>
  <c r="G381" i="12"/>
  <c r="H380" i="12"/>
  <c r="G380" i="12"/>
  <c r="H379" i="12"/>
  <c r="G379" i="12"/>
  <c r="H378" i="12"/>
  <c r="G378" i="12"/>
  <c r="H377" i="12"/>
  <c r="G377" i="12"/>
  <c r="H376" i="12"/>
  <c r="G376" i="12"/>
  <c r="H375" i="12"/>
  <c r="G375" i="12"/>
  <c r="H374" i="12"/>
  <c r="G374" i="12"/>
  <c r="H373" i="12"/>
  <c r="G373" i="12"/>
  <c r="H372" i="12"/>
  <c r="G372" i="12"/>
  <c r="H371" i="12"/>
  <c r="G371" i="12"/>
  <c r="H370" i="12"/>
  <c r="G370" i="12"/>
  <c r="H369" i="12"/>
  <c r="G369" i="12"/>
  <c r="H368" i="12"/>
  <c r="G368" i="12"/>
  <c r="H367" i="12"/>
  <c r="G367" i="12"/>
  <c r="H366" i="12"/>
  <c r="G366" i="12"/>
  <c r="H365" i="12"/>
  <c r="G365" i="12"/>
  <c r="H364" i="12"/>
  <c r="G364" i="12"/>
  <c r="H363" i="12"/>
  <c r="G363" i="12"/>
  <c r="H362" i="12"/>
  <c r="G362" i="12"/>
  <c r="H361" i="12"/>
  <c r="G361" i="12"/>
  <c r="H360" i="12"/>
  <c r="G360" i="12"/>
  <c r="H359" i="12"/>
  <c r="G359" i="12"/>
  <c r="H358" i="12"/>
  <c r="G358" i="12"/>
  <c r="H357" i="12"/>
  <c r="G357" i="12"/>
  <c r="H356" i="12"/>
  <c r="G356" i="12"/>
  <c r="H355" i="12"/>
  <c r="G355" i="12"/>
  <c r="H354" i="12"/>
  <c r="G354" i="12"/>
  <c r="H353" i="12"/>
  <c r="G353" i="12"/>
  <c r="H352" i="12"/>
  <c r="G352" i="12"/>
  <c r="H351" i="12"/>
  <c r="G351" i="12"/>
  <c r="H350" i="12"/>
  <c r="G350" i="12"/>
  <c r="H349" i="12"/>
  <c r="G349" i="12"/>
  <c r="H348" i="12"/>
  <c r="G348" i="12"/>
  <c r="H347" i="12"/>
  <c r="G347" i="12"/>
  <c r="H346" i="12"/>
  <c r="G346" i="12"/>
  <c r="H345" i="12"/>
  <c r="G345" i="12"/>
  <c r="H344" i="12"/>
  <c r="G344" i="12"/>
  <c r="H343" i="12"/>
  <c r="G343" i="12"/>
  <c r="H342" i="12"/>
  <c r="G342" i="12"/>
  <c r="H341" i="12"/>
  <c r="G341" i="12"/>
  <c r="H340" i="12"/>
  <c r="G340" i="12"/>
  <c r="H339" i="12"/>
  <c r="G339" i="12"/>
  <c r="H338" i="12"/>
  <c r="G338" i="12"/>
  <c r="H337" i="12"/>
  <c r="G337" i="12"/>
  <c r="H336" i="12"/>
  <c r="G336" i="12"/>
  <c r="H335" i="12"/>
  <c r="G335" i="12"/>
  <c r="H334" i="12"/>
  <c r="G334" i="12"/>
  <c r="H333" i="12"/>
  <c r="G333" i="12"/>
  <c r="H332" i="12"/>
  <c r="G332" i="12"/>
  <c r="H331" i="12"/>
  <c r="G331" i="12"/>
  <c r="H330" i="12"/>
  <c r="G330" i="12"/>
  <c r="H329" i="12"/>
  <c r="G329" i="12"/>
  <c r="H328" i="12"/>
  <c r="G328" i="12"/>
  <c r="H327" i="12"/>
  <c r="G327" i="12"/>
  <c r="H326" i="12"/>
  <c r="G326" i="12"/>
  <c r="H325" i="12"/>
  <c r="G325" i="12"/>
  <c r="H324" i="12"/>
  <c r="G324" i="12"/>
  <c r="H323" i="12"/>
  <c r="G323" i="12"/>
  <c r="H322" i="12"/>
  <c r="G322" i="12"/>
  <c r="H321" i="12"/>
  <c r="G321" i="12"/>
  <c r="H320" i="12"/>
  <c r="G320" i="12"/>
  <c r="H319" i="12"/>
  <c r="G319" i="12"/>
  <c r="H318" i="12"/>
  <c r="G318" i="12"/>
  <c r="H317" i="12"/>
  <c r="G317" i="12"/>
  <c r="H316" i="12"/>
  <c r="G316" i="12"/>
  <c r="H315" i="12"/>
  <c r="G315" i="12"/>
  <c r="H314" i="12"/>
  <c r="G314" i="12"/>
  <c r="H313" i="12"/>
  <c r="G313" i="12"/>
  <c r="H312" i="12"/>
  <c r="G312" i="12"/>
  <c r="H311" i="12"/>
  <c r="G311" i="12"/>
  <c r="H310" i="12"/>
  <c r="G310" i="12"/>
  <c r="H309" i="12"/>
  <c r="G309" i="12"/>
  <c r="H308" i="12"/>
  <c r="G308" i="12"/>
  <c r="H307" i="12"/>
  <c r="G307" i="12"/>
  <c r="H306" i="12"/>
  <c r="G306" i="12"/>
  <c r="H305" i="12"/>
  <c r="G305" i="12"/>
  <c r="H304" i="12"/>
  <c r="G304" i="12"/>
  <c r="H303" i="12"/>
  <c r="G303" i="12"/>
  <c r="H302" i="12"/>
  <c r="G302" i="12"/>
  <c r="H301" i="12"/>
  <c r="G301" i="12"/>
  <c r="H300" i="12"/>
  <c r="G300" i="12"/>
  <c r="H299" i="12"/>
  <c r="G299" i="12"/>
  <c r="H298" i="12"/>
  <c r="G298" i="12"/>
  <c r="H297" i="12"/>
  <c r="G297" i="12"/>
  <c r="H296" i="12"/>
  <c r="G296" i="12"/>
  <c r="H295" i="12"/>
  <c r="G295" i="12"/>
  <c r="H294" i="12"/>
  <c r="G294" i="12"/>
  <c r="H293" i="12"/>
  <c r="G293" i="12"/>
  <c r="H292" i="12"/>
  <c r="G292" i="12"/>
  <c r="H291" i="12"/>
  <c r="G291" i="12"/>
  <c r="H290" i="12"/>
  <c r="G290" i="12"/>
  <c r="H289" i="12"/>
  <c r="G289" i="12"/>
  <c r="H288" i="12"/>
  <c r="G288" i="12"/>
  <c r="H287" i="12"/>
  <c r="G287" i="12"/>
  <c r="H286" i="12"/>
  <c r="G286" i="12"/>
  <c r="H285" i="12"/>
  <c r="G285" i="12"/>
  <c r="H284" i="12"/>
  <c r="G284" i="12"/>
  <c r="H283" i="12"/>
  <c r="G283" i="12"/>
  <c r="H282" i="12"/>
  <c r="G282" i="12"/>
  <c r="H281" i="12"/>
  <c r="G281" i="12"/>
  <c r="H280" i="12"/>
  <c r="G280" i="12"/>
  <c r="H279" i="12"/>
  <c r="G279" i="12"/>
  <c r="H278" i="12"/>
  <c r="G278" i="12"/>
  <c r="H277" i="12"/>
  <c r="G277" i="12"/>
  <c r="H276" i="12"/>
  <c r="G276" i="12"/>
  <c r="H275" i="12"/>
  <c r="G275" i="12"/>
  <c r="H274" i="12"/>
  <c r="G274" i="12"/>
  <c r="H273" i="12"/>
  <c r="G273" i="12"/>
  <c r="H272" i="12"/>
  <c r="G272" i="12"/>
  <c r="H271" i="12"/>
  <c r="G271" i="12"/>
  <c r="H270" i="12"/>
  <c r="G270" i="12"/>
  <c r="H269" i="12"/>
  <c r="G269" i="12"/>
  <c r="H268" i="12"/>
  <c r="G268" i="12"/>
  <c r="H267" i="12"/>
  <c r="G267" i="12"/>
  <c r="H266" i="12"/>
  <c r="G266" i="12"/>
  <c r="H265" i="12"/>
  <c r="G265" i="12"/>
  <c r="H264" i="12"/>
  <c r="G264" i="12"/>
  <c r="H263" i="12"/>
  <c r="G263" i="12"/>
  <c r="H262" i="12"/>
  <c r="G262" i="12"/>
  <c r="H261" i="12"/>
  <c r="G261" i="12"/>
  <c r="H260" i="12"/>
  <c r="G260" i="12"/>
  <c r="H259" i="12"/>
  <c r="G259" i="12"/>
  <c r="H258" i="12"/>
  <c r="G258" i="12"/>
  <c r="H257" i="12"/>
  <c r="G257" i="12"/>
  <c r="H256" i="12"/>
  <c r="G256" i="12"/>
  <c r="H255" i="12"/>
  <c r="G255" i="12"/>
  <c r="H254" i="12"/>
  <c r="G254" i="12"/>
  <c r="H253" i="12"/>
  <c r="G253" i="12"/>
  <c r="H252" i="12"/>
  <c r="G252" i="12"/>
  <c r="H251" i="12"/>
  <c r="G251" i="12"/>
  <c r="H250" i="12"/>
  <c r="G250" i="12"/>
  <c r="H249" i="12"/>
  <c r="G249" i="12"/>
  <c r="H248" i="12"/>
  <c r="G248" i="12"/>
  <c r="H247" i="12"/>
  <c r="G247" i="12"/>
  <c r="H246" i="12"/>
  <c r="G246" i="12"/>
  <c r="H245" i="12"/>
  <c r="G245" i="12"/>
  <c r="H244" i="12"/>
  <c r="G244" i="12"/>
  <c r="H243" i="12"/>
  <c r="G243" i="12"/>
  <c r="H242" i="12"/>
  <c r="G242" i="12"/>
  <c r="H241" i="12"/>
  <c r="G241" i="12"/>
  <c r="H240" i="12"/>
  <c r="G240" i="12"/>
  <c r="H239" i="12"/>
  <c r="G239" i="12"/>
  <c r="H238" i="12"/>
  <c r="G238" i="12"/>
  <c r="H237" i="12"/>
  <c r="G237" i="12"/>
  <c r="H236" i="12"/>
  <c r="G236" i="12"/>
  <c r="H235" i="12"/>
  <c r="G235" i="12"/>
  <c r="H234" i="12"/>
  <c r="G234" i="12"/>
  <c r="H233" i="12"/>
  <c r="G233" i="12"/>
  <c r="H232" i="12"/>
  <c r="G232" i="12"/>
  <c r="H231" i="12"/>
  <c r="G231" i="12"/>
  <c r="H230" i="12"/>
  <c r="G230" i="12"/>
  <c r="H229" i="12"/>
  <c r="G229" i="12"/>
  <c r="H228" i="12"/>
  <c r="G228" i="12"/>
  <c r="H227" i="12"/>
  <c r="G227" i="12"/>
  <c r="H226" i="12"/>
  <c r="G226" i="12"/>
  <c r="H225" i="12"/>
  <c r="G225" i="12"/>
  <c r="H224" i="12"/>
  <c r="G224" i="12"/>
  <c r="H223" i="12"/>
  <c r="G223" i="12"/>
  <c r="H222" i="12"/>
  <c r="G222" i="12"/>
  <c r="H221" i="12"/>
  <c r="G221" i="12"/>
  <c r="H220" i="12"/>
  <c r="G220" i="12"/>
  <c r="H219" i="12"/>
  <c r="G219" i="12"/>
  <c r="H218" i="12"/>
  <c r="G218" i="12"/>
  <c r="H217" i="12"/>
  <c r="G217" i="12"/>
  <c r="H216" i="12"/>
  <c r="G216" i="12"/>
  <c r="H215" i="12"/>
  <c r="G215" i="12"/>
  <c r="H214" i="12"/>
  <c r="G214" i="12"/>
  <c r="H213" i="12"/>
  <c r="G213" i="12"/>
  <c r="H212" i="12"/>
  <c r="G212" i="12"/>
  <c r="H211" i="12"/>
  <c r="G211" i="12"/>
  <c r="H210" i="12"/>
  <c r="G210" i="12"/>
  <c r="H209" i="12"/>
  <c r="G209" i="12"/>
  <c r="H208" i="12"/>
  <c r="G208" i="12"/>
  <c r="H207" i="12"/>
  <c r="G207" i="12"/>
  <c r="H206" i="12"/>
  <c r="G206" i="12"/>
  <c r="H205" i="12"/>
  <c r="G205" i="12"/>
  <c r="H204" i="12"/>
  <c r="G204" i="12"/>
  <c r="H203" i="12"/>
  <c r="G203" i="12"/>
  <c r="H202" i="12"/>
  <c r="G202" i="12"/>
  <c r="H201" i="12"/>
  <c r="G201" i="12"/>
  <c r="H200" i="12"/>
  <c r="G200" i="12"/>
  <c r="H199" i="12"/>
  <c r="G199" i="12"/>
  <c r="H198" i="12"/>
  <c r="G198" i="12"/>
  <c r="H197" i="12"/>
  <c r="G197" i="12"/>
  <c r="H196" i="12"/>
  <c r="G196" i="12"/>
  <c r="H195" i="12"/>
  <c r="G195" i="12"/>
  <c r="H194" i="12"/>
  <c r="G194" i="12"/>
  <c r="H193" i="12"/>
  <c r="G193" i="12"/>
  <c r="H192" i="12"/>
  <c r="G192" i="12"/>
  <c r="H191" i="12"/>
  <c r="G191" i="12"/>
  <c r="H190" i="12"/>
  <c r="G190" i="12"/>
  <c r="H189" i="12"/>
  <c r="G189" i="12"/>
  <c r="H188" i="12"/>
  <c r="G188" i="12"/>
  <c r="H187" i="12"/>
  <c r="G187" i="12"/>
  <c r="H186" i="12"/>
  <c r="G186" i="12"/>
  <c r="H185" i="12"/>
  <c r="G185" i="12"/>
  <c r="H184" i="12"/>
  <c r="G184" i="12"/>
  <c r="H183" i="12"/>
  <c r="G183" i="12"/>
  <c r="H182" i="12"/>
  <c r="G182" i="12"/>
  <c r="H181" i="12"/>
  <c r="G181" i="12"/>
  <c r="H180" i="12"/>
  <c r="G180" i="12"/>
  <c r="H179" i="12"/>
  <c r="G179" i="12"/>
  <c r="H178" i="12"/>
  <c r="G178" i="12"/>
  <c r="H177" i="12"/>
  <c r="G177" i="12"/>
  <c r="H176" i="12"/>
  <c r="G176" i="12"/>
  <c r="H175" i="12"/>
  <c r="G175" i="12"/>
  <c r="H174" i="12"/>
  <c r="G174" i="12"/>
  <c r="H173" i="12"/>
  <c r="G173" i="12"/>
  <c r="H172" i="12"/>
  <c r="G172" i="12"/>
  <c r="H171" i="12"/>
  <c r="G171" i="12"/>
  <c r="H170" i="12"/>
  <c r="G170" i="12"/>
  <c r="H169" i="12"/>
  <c r="G169" i="12"/>
  <c r="H168" i="12"/>
  <c r="G168" i="12"/>
  <c r="H167" i="12"/>
  <c r="G167" i="12"/>
  <c r="H166" i="12"/>
  <c r="G166" i="12"/>
  <c r="H165" i="12"/>
  <c r="G165" i="12"/>
  <c r="H164" i="12"/>
  <c r="G164" i="12"/>
  <c r="H163" i="12"/>
  <c r="G163" i="12"/>
  <c r="H162" i="12"/>
  <c r="G162" i="12"/>
  <c r="H161" i="12"/>
  <c r="G161" i="12"/>
  <c r="H160" i="12"/>
  <c r="G160" i="12"/>
  <c r="H159" i="12"/>
  <c r="G159" i="12"/>
  <c r="H158" i="12"/>
  <c r="G158" i="12"/>
  <c r="H157" i="12"/>
  <c r="G157" i="12"/>
  <c r="H156" i="12"/>
  <c r="G156" i="12"/>
  <c r="H155" i="12"/>
  <c r="G155" i="12"/>
  <c r="H154" i="12"/>
  <c r="G154" i="12"/>
  <c r="H153" i="12"/>
  <c r="G153" i="12"/>
  <c r="H152" i="12"/>
  <c r="G152" i="12"/>
  <c r="H151" i="12"/>
  <c r="G151" i="12"/>
  <c r="H150" i="12"/>
  <c r="G150" i="12"/>
  <c r="H149" i="12"/>
  <c r="G149" i="12"/>
  <c r="H148" i="12"/>
  <c r="G148" i="12"/>
  <c r="H147" i="12"/>
  <c r="G147" i="12"/>
  <c r="H146" i="12"/>
  <c r="G146" i="12"/>
  <c r="H145" i="12"/>
  <c r="G145" i="12"/>
  <c r="H144" i="12"/>
  <c r="G144" i="12"/>
  <c r="H143" i="12"/>
  <c r="G143" i="12"/>
  <c r="H142" i="12"/>
  <c r="G142" i="12"/>
  <c r="H141" i="12"/>
  <c r="G141" i="12"/>
  <c r="H140" i="12"/>
  <c r="G140" i="12"/>
  <c r="H139" i="12"/>
  <c r="G139" i="12"/>
  <c r="H138" i="12"/>
  <c r="G138" i="12"/>
  <c r="H137" i="12"/>
  <c r="G137" i="12"/>
  <c r="H136" i="12"/>
  <c r="G136" i="12"/>
  <c r="H135" i="12"/>
  <c r="G135" i="12"/>
  <c r="H134" i="12"/>
  <c r="G134" i="12"/>
  <c r="H133" i="12"/>
  <c r="G133" i="12"/>
  <c r="H132" i="12"/>
  <c r="G132" i="12"/>
  <c r="H131" i="12"/>
  <c r="G131" i="12"/>
  <c r="H130" i="12"/>
  <c r="G130" i="12"/>
  <c r="H129" i="12"/>
  <c r="G129" i="12"/>
  <c r="H128" i="12"/>
  <c r="G128" i="12"/>
  <c r="H127" i="12"/>
  <c r="G127" i="12"/>
  <c r="H126" i="12"/>
  <c r="G126" i="12"/>
  <c r="H125" i="12"/>
  <c r="G125" i="12"/>
  <c r="H124" i="12"/>
  <c r="G124" i="12"/>
  <c r="H123" i="12"/>
  <c r="G123" i="12"/>
  <c r="H122" i="12"/>
  <c r="G122" i="12"/>
  <c r="H121" i="12"/>
  <c r="G121" i="12"/>
  <c r="H120" i="12"/>
  <c r="G120" i="12"/>
  <c r="H119" i="12"/>
  <c r="G119" i="12"/>
  <c r="H118" i="12"/>
  <c r="G118" i="12"/>
  <c r="H117" i="12"/>
  <c r="G117" i="12"/>
  <c r="H116" i="12"/>
  <c r="G116" i="12"/>
  <c r="H115" i="12"/>
  <c r="G115" i="12"/>
  <c r="H114" i="12"/>
  <c r="G114" i="12"/>
  <c r="H113" i="12"/>
  <c r="G113" i="12"/>
  <c r="H112" i="12"/>
  <c r="G112" i="12"/>
  <c r="H111" i="12"/>
  <c r="G111" i="12"/>
  <c r="H110" i="12"/>
  <c r="G110" i="12"/>
  <c r="H109" i="12"/>
  <c r="G109" i="12"/>
  <c r="H108" i="12"/>
  <c r="G108" i="12"/>
  <c r="H107" i="12"/>
  <c r="G107" i="12"/>
  <c r="H106" i="12"/>
  <c r="G106" i="12"/>
  <c r="H105" i="12"/>
  <c r="G105" i="12"/>
  <c r="H104" i="12"/>
  <c r="G104" i="12"/>
  <c r="H103" i="12"/>
  <c r="G103" i="12"/>
  <c r="H102" i="12"/>
  <c r="G102" i="12"/>
  <c r="H101" i="12"/>
  <c r="G101" i="12"/>
  <c r="H100" i="12"/>
  <c r="G100" i="12"/>
  <c r="H99" i="12"/>
  <c r="G99" i="12"/>
  <c r="H98" i="12"/>
  <c r="G98" i="12"/>
  <c r="H97" i="12"/>
  <c r="G97" i="12"/>
  <c r="H96" i="12"/>
  <c r="G96" i="12"/>
  <c r="H95" i="12"/>
  <c r="G95" i="12"/>
  <c r="H94" i="12"/>
  <c r="G94" i="12"/>
  <c r="H93" i="12"/>
  <c r="G93" i="12"/>
  <c r="H92" i="12"/>
  <c r="G92" i="12"/>
  <c r="H91" i="12"/>
  <c r="G91" i="12"/>
  <c r="H90" i="12"/>
  <c r="G90" i="12"/>
  <c r="H89" i="12"/>
  <c r="G89" i="12"/>
  <c r="H88" i="12"/>
  <c r="G88" i="12"/>
  <c r="H87" i="12"/>
  <c r="G87" i="12"/>
  <c r="H86" i="12"/>
  <c r="G86" i="12"/>
  <c r="H85" i="12"/>
  <c r="G85" i="12"/>
  <c r="H84" i="12"/>
  <c r="G84" i="12"/>
  <c r="H83" i="12"/>
  <c r="G83" i="12"/>
  <c r="H82" i="12"/>
  <c r="G82" i="12"/>
  <c r="H81" i="12"/>
  <c r="G81" i="12"/>
  <c r="H80" i="12"/>
  <c r="G80" i="12"/>
  <c r="H79" i="12"/>
  <c r="G79" i="12"/>
  <c r="H78" i="12"/>
  <c r="G78" i="12"/>
  <c r="H77" i="12"/>
  <c r="G77" i="12"/>
  <c r="H76" i="12"/>
  <c r="G76" i="12"/>
  <c r="H75" i="12"/>
  <c r="G75" i="12"/>
  <c r="H74" i="12"/>
  <c r="G74" i="12"/>
  <c r="H73" i="12"/>
  <c r="G73" i="12"/>
  <c r="H72" i="12"/>
  <c r="G72" i="12"/>
  <c r="H71" i="12"/>
  <c r="G71" i="12"/>
  <c r="H70" i="12"/>
  <c r="G70" i="12"/>
  <c r="H69" i="12"/>
  <c r="G69" i="12"/>
  <c r="H68" i="12"/>
  <c r="G68" i="12"/>
  <c r="H67" i="12"/>
  <c r="G67" i="12"/>
  <c r="H66" i="12"/>
  <c r="G66" i="12"/>
  <c r="H65" i="12"/>
  <c r="G65" i="12"/>
  <c r="H64" i="12"/>
  <c r="G64" i="12"/>
  <c r="H63" i="12"/>
  <c r="G63" i="12"/>
  <c r="H62" i="12"/>
  <c r="G62" i="12"/>
  <c r="H61" i="12"/>
  <c r="G61" i="12"/>
  <c r="H60" i="12"/>
  <c r="G60" i="12"/>
  <c r="H59" i="12"/>
  <c r="G59" i="12"/>
  <c r="H58" i="12"/>
  <c r="G58" i="12"/>
  <c r="H57" i="12"/>
  <c r="G57" i="12"/>
  <c r="H56" i="12"/>
  <c r="G56" i="12"/>
  <c r="H55" i="12"/>
  <c r="G55" i="12"/>
  <c r="H54" i="12"/>
  <c r="G54" i="12"/>
  <c r="H53" i="12"/>
  <c r="G53" i="12"/>
  <c r="H52" i="12"/>
  <c r="G52" i="12"/>
  <c r="H51" i="12"/>
  <c r="G51" i="12"/>
  <c r="H50" i="12"/>
  <c r="G50" i="12"/>
  <c r="H49" i="12"/>
  <c r="G49" i="12"/>
  <c r="H48" i="12"/>
  <c r="G48" i="12"/>
  <c r="H47" i="12"/>
  <c r="G47" i="12"/>
  <c r="H46" i="12"/>
  <c r="G46" i="12"/>
  <c r="H45" i="12"/>
  <c r="G45" i="12"/>
  <c r="H44" i="12"/>
  <c r="G44" i="12"/>
  <c r="H43" i="12"/>
  <c r="G43" i="12"/>
  <c r="H42" i="12"/>
  <c r="G42" i="12"/>
  <c r="H41" i="12"/>
  <c r="G41" i="12"/>
  <c r="H40" i="12"/>
  <c r="G40" i="12"/>
  <c r="H39" i="12"/>
  <c r="G39" i="12"/>
  <c r="H38" i="12"/>
  <c r="G38" i="12"/>
  <c r="H37" i="12"/>
  <c r="G37" i="12"/>
  <c r="H36" i="12"/>
  <c r="G36" i="12"/>
  <c r="H35" i="12"/>
  <c r="G35" i="12"/>
  <c r="H34" i="12"/>
  <c r="G34" i="12"/>
  <c r="H33" i="12"/>
  <c r="G33" i="12"/>
  <c r="H32" i="12"/>
  <c r="G32" i="12"/>
  <c r="H31" i="12"/>
  <c r="G31" i="12"/>
  <c r="H30" i="12"/>
  <c r="G30" i="12"/>
  <c r="H29" i="12"/>
  <c r="G29" i="12"/>
  <c r="H28" i="12"/>
  <c r="G28" i="12"/>
  <c r="H27" i="12"/>
  <c r="G27" i="12"/>
  <c r="H26" i="12"/>
  <c r="G26" i="12"/>
  <c r="H25" i="12"/>
  <c r="G25" i="12"/>
  <c r="H24" i="12"/>
  <c r="G24" i="12"/>
  <c r="H23" i="12"/>
  <c r="G23" i="12"/>
  <c r="H22" i="12"/>
  <c r="G22" i="12"/>
  <c r="H21" i="12"/>
  <c r="G21" i="12"/>
  <c r="H20" i="12"/>
  <c r="G20" i="12"/>
  <c r="H19" i="12"/>
  <c r="G19" i="12"/>
  <c r="H18" i="12"/>
  <c r="G18" i="12"/>
  <c r="H17" i="12"/>
  <c r="G17" i="12"/>
  <c r="H16" i="12"/>
  <c r="G16" i="12"/>
  <c r="H15" i="12"/>
  <c r="G15" i="12"/>
  <c r="H14" i="12"/>
  <c r="G14" i="12"/>
  <c r="H13" i="12"/>
  <c r="G13" i="12"/>
  <c r="H12" i="12"/>
  <c r="G12" i="12"/>
  <c r="H11" i="12"/>
  <c r="G11" i="12"/>
  <c r="H10" i="12"/>
  <c r="G10" i="12"/>
  <c r="H9" i="12"/>
  <c r="G9" i="12"/>
  <c r="H8" i="12"/>
  <c r="G8" i="12"/>
  <c r="H7" i="12"/>
  <c r="G7" i="12"/>
  <c r="H6" i="12"/>
  <c r="G6" i="12"/>
  <c r="H5" i="12"/>
  <c r="G5" i="12"/>
  <c r="H4" i="12"/>
  <c r="G4" i="12"/>
  <c r="H3" i="12"/>
  <c r="G3" i="12"/>
  <c r="H2" i="12"/>
  <c r="G2" i="12"/>
  <c r="B15" i="14" l="1"/>
</calcChain>
</file>

<file path=xl/sharedStrings.xml><?xml version="1.0" encoding="utf-8"?>
<sst xmlns="http://schemas.openxmlformats.org/spreadsheetml/2006/main" count="630" uniqueCount="363">
  <si>
    <t>Fecha</t>
  </si>
  <si>
    <t>Área</t>
  </si>
  <si>
    <t>Observador</t>
  </si>
  <si>
    <t>Trabajador</t>
  </si>
  <si>
    <t>Cargo</t>
  </si>
  <si>
    <t>Actividad</t>
  </si>
  <si>
    <t>Tipo Observación</t>
  </si>
  <si>
    <t>Hallazgo</t>
  </si>
  <si>
    <t>Responsable</t>
  </si>
  <si>
    <t>Estado</t>
  </si>
  <si>
    <t>Evidencia</t>
  </si>
  <si>
    <t>Aserradero</t>
  </si>
  <si>
    <t>Conducta segura</t>
  </si>
  <si>
    <t>Cerrada</t>
  </si>
  <si>
    <t>Drymill</t>
  </si>
  <si>
    <t>Conducta de riesgo</t>
  </si>
  <si>
    <t>Planta Térmica</t>
  </si>
  <si>
    <t>BAPP positiva</t>
  </si>
  <si>
    <t>Descortezado</t>
  </si>
  <si>
    <t>Orden y aseo</t>
  </si>
  <si>
    <t>BAPP correctiva</t>
  </si>
  <si>
    <t>Mantención</t>
  </si>
  <si>
    <t>BASE DE DATOS – SISTEMA DE GESTIÓN SSO</t>
  </si>
  <si>
    <t>SAIVAM – CMPC Mulchén | Estructura alineada con el menú de la aplicación</t>
  </si>
  <si>
    <t>No cambies los nombres de las hojas ni los encabezados. La aplicación los utiliza para leer la información.</t>
  </si>
  <si>
    <t>Menú de la aplicación</t>
  </si>
  <si>
    <t>Hoja de Excel</t>
  </si>
  <si>
    <t>Contenido</t>
  </si>
  <si>
    <t>KPI SSO</t>
  </si>
  <si>
    <t>KPI_SSO</t>
  </si>
  <si>
    <t>Resumen automático calculado desde las demás hojas.</t>
  </si>
  <si>
    <t>PRG SSO 2026</t>
  </si>
  <si>
    <t>PRG_SSO_2026</t>
  </si>
  <si>
    <t>Programa anual, metas, resultados y cumplimiento.</t>
  </si>
  <si>
    <t>Reportabilidad</t>
  </si>
  <si>
    <t>Incidentes, hallazgos, cuasi accidentes y accidentes.</t>
  </si>
  <si>
    <t>Observaciones SSO y BAPP</t>
  </si>
  <si>
    <t>Observaciones_SSO_BAPP</t>
  </si>
  <si>
    <t>Conductas seguras, riesgos y compromisos.</t>
  </si>
  <si>
    <t>Inspecciones de Seguridad</t>
  </si>
  <si>
    <t>Inspecciones_Seguridad</t>
  </si>
  <si>
    <t>Inspecciones, hallazgos y fechas de cierre.</t>
  </si>
  <si>
    <t>Control Operacional</t>
  </si>
  <si>
    <t>Control_Operacional</t>
  </si>
  <si>
    <t>Acciones correctivas y seguimiento operacional.</t>
  </si>
  <si>
    <t>Capacitaciones</t>
  </si>
  <si>
    <t>Charlas, cursos, asistentes y vencimientos.</t>
  </si>
  <si>
    <t>Reconocimientos</t>
  </si>
  <si>
    <t>Trabajadores destacados y reconocimientos entregados.</t>
  </si>
  <si>
    <t>Comité Paritario</t>
  </si>
  <si>
    <t>Comite_Paritario</t>
  </si>
  <si>
    <t>Reuniones, acuerdos y compromisos del comité.</t>
  </si>
  <si>
    <t>Protocolos MINSAL</t>
  </si>
  <si>
    <t>Protocolos_MINSAL</t>
  </si>
  <si>
    <t>Protocolos, evaluaciones, expuestos y medidas.</t>
  </si>
  <si>
    <t>Certificaciones</t>
  </si>
  <si>
    <t>Hoja maestra de certificaciones por categoría.</t>
  </si>
  <si>
    <t>Áreas</t>
  </si>
  <si>
    <t>Estados</t>
  </si>
  <si>
    <t>Tipo observación</t>
  </si>
  <si>
    <t>Tipo evento</t>
  </si>
  <si>
    <t>Gravedad</t>
  </si>
  <si>
    <t>Resultado inspección</t>
  </si>
  <si>
    <t>Origen acción</t>
  </si>
  <si>
    <t>Categoría certificación</t>
  </si>
  <si>
    <t>Tipo reunión</t>
  </si>
  <si>
    <t>Pendiente</t>
  </si>
  <si>
    <t>Baja</t>
  </si>
  <si>
    <t>Cumple</t>
  </si>
  <si>
    <t>Observación</t>
  </si>
  <si>
    <t>PREXOR</t>
  </si>
  <si>
    <t>Equipos</t>
  </si>
  <si>
    <t>Reunión ordinaria</t>
  </si>
  <si>
    <t>En proceso</t>
  </si>
  <si>
    <t>Cuasi accidente</t>
  </si>
  <si>
    <t>Media</t>
  </si>
  <si>
    <t>Cumple parcial</t>
  </si>
  <si>
    <t>Inspección</t>
  </si>
  <si>
    <t>TMERT</t>
  </si>
  <si>
    <t>Personas</t>
  </si>
  <si>
    <t>Reunión extraordinaria</t>
  </si>
  <si>
    <t>Incidente sin lesión</t>
  </si>
  <si>
    <t>Alta</t>
  </si>
  <si>
    <t>No cumple</t>
  </si>
  <si>
    <t>MMC</t>
  </si>
  <si>
    <t>Inspección conjunta</t>
  </si>
  <si>
    <t>Vencida</t>
  </si>
  <si>
    <t>Accidente</t>
  </si>
  <si>
    <t>Crítica</t>
  </si>
  <si>
    <t>Auditoría</t>
  </si>
  <si>
    <t>RUV</t>
  </si>
  <si>
    <t>Empresa</t>
  </si>
  <si>
    <t>Investigación</t>
  </si>
  <si>
    <t>Vigente</t>
  </si>
  <si>
    <t>Sílice</t>
  </si>
  <si>
    <t>Contrato</t>
  </si>
  <si>
    <t>Reproceso</t>
  </si>
  <si>
    <t>Por vencer</t>
  </si>
  <si>
    <t>Psicosocial CEAL-SM</t>
  </si>
  <si>
    <t>Instalaciones</t>
  </si>
  <si>
    <t>Impregnado</t>
  </si>
  <si>
    <t>Sin vencimiento</t>
  </si>
  <si>
    <t>Radiación UV</t>
  </si>
  <si>
    <t>Procesos</t>
  </si>
  <si>
    <t>Materias Primas</t>
  </si>
  <si>
    <t>Agentes químicos</t>
  </si>
  <si>
    <t>Bodega RESPEL</t>
  </si>
  <si>
    <t>TMT</t>
  </si>
  <si>
    <t>General</t>
  </si>
  <si>
    <t>Mes</t>
  </si>
  <si>
    <t>Tipo_Actividad</t>
  </si>
  <si>
    <t>Meta</t>
  </si>
  <si>
    <t>Resultado</t>
  </si>
  <si>
    <t>Cumplimiento</t>
  </si>
  <si>
    <t>Observacion</t>
  </si>
  <si>
    <t>Enero</t>
  </si>
  <si>
    <t>Difusión del programa anual de seguridad</t>
  </si>
  <si>
    <t>Gestión preventiva</t>
  </si>
  <si>
    <t>María Araya</t>
  </si>
  <si>
    <t>Drive/PRG/01</t>
  </si>
  <si>
    <t>Programa difundido.</t>
  </si>
  <si>
    <t>Marzo</t>
  </si>
  <si>
    <t>Inspección general de condiciones de seguridad</t>
  </si>
  <si>
    <t>Drive/PRG/03</t>
  </si>
  <si>
    <t>Actividad realizada.</t>
  </si>
  <si>
    <t>Mayo</t>
  </si>
  <si>
    <t>Campaña de prevención de lesiones de manos</t>
  </si>
  <si>
    <t>Campaña</t>
  </si>
  <si>
    <t>Supervisor Mantención</t>
  </si>
  <si>
    <t>Drive/PRG/05</t>
  </si>
  <si>
    <t>Charla y verificación en terreno.</t>
  </si>
  <si>
    <t>Julio</t>
  </si>
  <si>
    <t>Revisión de procedimientos críticos</t>
  </si>
  <si>
    <t>Programada para julio.</t>
  </si>
  <si>
    <t>Agosto</t>
  </si>
  <si>
    <t>Simulacro de emergencia</t>
  </si>
  <si>
    <t>Emergencia</t>
  </si>
  <si>
    <t>Pendiente coordinación.</t>
  </si>
  <si>
    <t>Tipo_Evento</t>
  </si>
  <si>
    <t>Descripcion</t>
  </si>
  <si>
    <t>Accion_Inmediata</t>
  </si>
  <si>
    <t>Condición subestándar en punto de tránsito.</t>
  </si>
  <si>
    <t>Control del área e información al supervisor.</t>
  </si>
  <si>
    <t>Supervisor</t>
  </si>
  <si>
    <t>Pendiente evidencia.</t>
  </si>
  <si>
    <t>Interacción entre peatón y equipo móvil.</t>
  </si>
  <si>
    <t>Detención de tarea y charla de refuerzo.</t>
  </si>
  <si>
    <t>Revisar segregación.</t>
  </si>
  <si>
    <t>Material acumulado junto a vía de tránsito.</t>
  </si>
  <si>
    <t>Retiro inmediato.</t>
  </si>
  <si>
    <t>Líder de área</t>
  </si>
  <si>
    <t>Corregido en el turno.</t>
  </si>
  <si>
    <t>Desprendimiento menor de material.</t>
  </si>
  <si>
    <t>Detención y revisión del método.</t>
  </si>
  <si>
    <t>Sin daño a personas.</t>
  </si>
  <si>
    <t>Barrera retirada antes del cierre.</t>
  </si>
  <si>
    <t>Reposición inmediata.</t>
  </si>
  <si>
    <t>José Acuña</t>
  </si>
  <si>
    <t>Verificar en inspección.</t>
  </si>
  <si>
    <t>Tipo_Inspeccion</t>
  </si>
  <si>
    <t>Hallazgos</t>
  </si>
  <si>
    <t>Fecha_Compromiso</t>
  </si>
  <si>
    <t>Bloqueo de energías</t>
  </si>
  <si>
    <t>Procedimiento aplicado correctamente.</t>
  </si>
  <si>
    <t>Sin observaciones.</t>
  </si>
  <si>
    <t>Material acumulado.</t>
  </si>
  <si>
    <t>Supervisor Turno</t>
  </si>
  <si>
    <t>Falta evidencia.</t>
  </si>
  <si>
    <t>Segregación de áreas</t>
  </si>
  <si>
    <t>Demarcación desgastada.</t>
  </si>
  <si>
    <t>Reposición programada.</t>
  </si>
  <si>
    <t>Equipos móviles</t>
  </si>
  <si>
    <t>Check list disponible.</t>
  </si>
  <si>
    <t>Daniel Carrasco</t>
  </si>
  <si>
    <t>Equipo autorizado.</t>
  </si>
  <si>
    <t>Uso de EPP</t>
  </si>
  <si>
    <t>Chaqueta de trabajo abierta.</t>
  </si>
  <si>
    <t>Compromiso reforzado.</t>
  </si>
  <si>
    <t>Origen</t>
  </si>
  <si>
    <t>Accion_Correctiva</t>
  </si>
  <si>
    <t>Realizar limpieza y reforzar estándar.</t>
  </si>
  <si>
    <t>Pendiente respaldo.</t>
  </si>
  <si>
    <t>Falta de señalización.</t>
  </si>
  <si>
    <t>Instalar señalética.</t>
  </si>
  <si>
    <t>Drive/ACO/001</t>
  </si>
  <si>
    <t>Verificado.</t>
  </si>
  <si>
    <t>Interacción peatón-equipo.</t>
  </si>
  <si>
    <t>Actualizar segregación.</t>
  </si>
  <si>
    <t>Ricardo Grez</t>
  </si>
  <si>
    <t>Coordinado.</t>
  </si>
  <si>
    <t>Chaqueta abierta.</t>
  </si>
  <si>
    <t>Charla y verificación de EPP.</t>
  </si>
  <si>
    <t>Seguimiento próximo turno.</t>
  </si>
  <si>
    <t>Barrera retirada.</t>
  </si>
  <si>
    <t>Reforzar control de barreras.</t>
  </si>
  <si>
    <t>Verificación documental.</t>
  </si>
  <si>
    <t>Tema</t>
  </si>
  <si>
    <t>Tipo</t>
  </si>
  <si>
    <t>Relator</t>
  </si>
  <si>
    <t>Asistentes</t>
  </si>
  <si>
    <t>Vencimiento</t>
  </si>
  <si>
    <t>Charla operacional</t>
  </si>
  <si>
    <t>Registro firmado.</t>
  </si>
  <si>
    <t>Uso correcto de EPP</t>
  </si>
  <si>
    <t>Charla de 5 minutos</t>
  </si>
  <si>
    <t>Segregación peatón-equipo</t>
  </si>
  <si>
    <t>Capacitación</t>
  </si>
  <si>
    <t>Evaluación aplicada.</t>
  </si>
  <si>
    <t>Trabajo en altura</t>
  </si>
  <si>
    <t>Reinducción</t>
  </si>
  <si>
    <t>Prevención</t>
  </si>
  <si>
    <t>Personal autorizado.</t>
  </si>
  <si>
    <t>Reporte de incidentes</t>
  </si>
  <si>
    <t>Reportabilidad reforzada.</t>
  </si>
  <si>
    <t>Motivo</t>
  </si>
  <si>
    <t>Periodo</t>
  </si>
  <si>
    <t>EMPRESA SAIVAM</t>
  </si>
  <si>
    <t>EQUIPO</t>
  </si>
  <si>
    <t>Celebracion 700 dias sin aacidentes</t>
  </si>
  <si>
    <t>Reconocimiento 700 dias sin ACC - 2025.       Mutual de Seguridad</t>
  </si>
  <si>
    <t>Maria Araya P.</t>
  </si>
  <si>
    <t>Ingeniera en Prevencion de Riesgos</t>
  </si>
  <si>
    <t>Gestion SSO 2025</t>
  </si>
  <si>
    <t>Reconocimiento anual de seguridad CMPC - 2025.</t>
  </si>
  <si>
    <t>Claudio Albornoz A.</t>
  </si>
  <si>
    <t xml:space="preserve">Aseador Industrial </t>
  </si>
  <si>
    <t>Trabajador Destacado en SSO 2025</t>
  </si>
  <si>
    <t>Pedro Quezada L.</t>
  </si>
  <si>
    <t>Aseador Industrial Mantenedor</t>
  </si>
  <si>
    <t>Compromiso con la seguridad</t>
  </si>
  <si>
    <t>Enero 2026</t>
  </si>
  <si>
    <t>Reconocimiento mensual de Seguridad</t>
  </si>
  <si>
    <t>Esteban Cáceres J.</t>
  </si>
  <si>
    <t>Aseador Industrial y Op Riego</t>
  </si>
  <si>
    <t>Febrero 2026</t>
  </si>
  <si>
    <t>Héctor Flores F.</t>
  </si>
  <si>
    <t>Marzo 2026</t>
  </si>
  <si>
    <t>Omar Acevedo S.</t>
  </si>
  <si>
    <t>Aseador Industrial y Jardinero</t>
  </si>
  <si>
    <t>Abril 2026</t>
  </si>
  <si>
    <t>Pedro Morales C.</t>
  </si>
  <si>
    <t>Operador Riego</t>
  </si>
  <si>
    <t>Mayo 2026</t>
  </si>
  <si>
    <t>Manuel Mardones B.</t>
  </si>
  <si>
    <t>Aseador Industrial Mantencion</t>
  </si>
  <si>
    <t>Junio 2026</t>
  </si>
  <si>
    <t>500 dias sin Acc - Planta Mulchen</t>
  </si>
  <si>
    <t>Julio 2026</t>
  </si>
  <si>
    <t>Reconocimiento de Planta CMPC por 500 dias sin accidentes</t>
  </si>
  <si>
    <t>Isaac Melgarejo R.</t>
  </si>
  <si>
    <t>Tipo_Reunion</t>
  </si>
  <si>
    <t>Acuerdo</t>
  </si>
  <si>
    <t>Planificación del comité</t>
  </si>
  <si>
    <t>Definir calendario anual.</t>
  </si>
  <si>
    <t>Presidente Comité</t>
  </si>
  <si>
    <t>Drive/CP/05</t>
  </si>
  <si>
    <t>Acta firmada.</t>
  </si>
  <si>
    <t>Observaciones preventivas</t>
  </si>
  <si>
    <t>Reforzar rutas peatonales.</t>
  </si>
  <si>
    <t>Supervisor Aserradero</t>
  </si>
  <si>
    <t>Drive/CP/06</t>
  </si>
  <si>
    <t>Acciones correctivas</t>
  </si>
  <si>
    <t>Cerrar acciones pendientes.</t>
  </si>
  <si>
    <t>Seguimiento programado.</t>
  </si>
  <si>
    <t>Trabajo de emergencia</t>
  </si>
  <si>
    <t>Revisar controles previos.</t>
  </si>
  <si>
    <t>Reunión planificada.</t>
  </si>
  <si>
    <t>Protocolo</t>
  </si>
  <si>
    <t>Etapa</t>
  </si>
  <si>
    <t>Expuestos</t>
  </si>
  <si>
    <t>Identificación</t>
  </si>
  <si>
    <t>Evaluación de exposición a ruido</t>
  </si>
  <si>
    <t>Área incorporada al programa</t>
  </si>
  <si>
    <t>Drive/MINSAL/PREXOR</t>
  </si>
  <si>
    <t>Mediciones programadas.</t>
  </si>
  <si>
    <t>Evaluación inicial</t>
  </si>
  <si>
    <t>Aplicación de lista de chequeo</t>
  </si>
  <si>
    <t>Riesgo medio</t>
  </si>
  <si>
    <t>Drive/MINSAL/TMERT</t>
  </si>
  <si>
    <t>Pendiente medidas ergonómicas.</t>
  </si>
  <si>
    <t>Control</t>
  </si>
  <si>
    <t>Revisión de manejo manual de cargas</t>
  </si>
  <si>
    <t>Requiere ayuda mecánica</t>
  </si>
  <si>
    <t>Coordinar apoyo operacional.</t>
  </si>
  <si>
    <t>Implementación</t>
  </si>
  <si>
    <t>Control de exposición solar</t>
  </si>
  <si>
    <t>Medidas implementadas</t>
  </si>
  <si>
    <t>Drive/MINSAL/UV</t>
  </si>
  <si>
    <t>Bloqueador y pausas disponibles.</t>
  </si>
  <si>
    <t>Planificación</t>
  </si>
  <si>
    <t>Preparación de encuesta</t>
  </si>
  <si>
    <t>Comité de Aplicación</t>
  </si>
  <si>
    <t>Cronograma definido</t>
  </si>
  <si>
    <t>Difusión pendiente.</t>
  </si>
  <si>
    <t>Categoria</t>
  </si>
  <si>
    <t>Subcategoria</t>
  </si>
  <si>
    <t>Nombre_Certificacion</t>
  </si>
  <si>
    <t>Entidad_Emisora</t>
  </si>
  <si>
    <t>Dias_Para_Vencer</t>
  </si>
  <si>
    <t>Ruta_Link</t>
  </si>
  <si>
    <t>Grúa horquilla</t>
  </si>
  <si>
    <t>Certificacion Sello Verde</t>
  </si>
  <si>
    <t>C&amp;S Certificacion</t>
  </si>
  <si>
    <t>link</t>
  </si>
  <si>
    <t>Barredora hombre a bordo</t>
  </si>
  <si>
    <t>Minicargador</t>
  </si>
  <si>
    <t>Alzahombre</t>
  </si>
  <si>
    <t>Camion</t>
  </si>
  <si>
    <t>Nibaldo Tobar</t>
  </si>
  <si>
    <t>Certificacion Corma</t>
  </si>
  <si>
    <t>ICCEN E.I.R.L</t>
  </si>
  <si>
    <t>Diego Cofre</t>
  </si>
  <si>
    <t>Camilo Aguayo</t>
  </si>
  <si>
    <t>Certificacion categoria Oro</t>
  </si>
  <si>
    <t>Mutual de Seguridad</t>
  </si>
  <si>
    <t>Sistema de Gestion SSO</t>
  </si>
  <si>
    <t>Parametro</t>
  </si>
  <si>
    <t>Valor</t>
  </si>
  <si>
    <t>Inicio_Sin_Accidentes</t>
  </si>
  <si>
    <t>Meta_Observaciones_Mensual</t>
  </si>
  <si>
    <t>Meta_Inspecciones_Mensual</t>
  </si>
  <si>
    <t>Meta_Capacitaciones_Mensual</t>
  </si>
  <si>
    <t>SAIVAM</t>
  </si>
  <si>
    <t>CMPC Mulchén</t>
  </si>
  <si>
    <t>Administrador_Contrato</t>
  </si>
  <si>
    <t>Responsable_SSO</t>
  </si>
  <si>
    <t>Version</t>
  </si>
  <si>
    <t>2.0</t>
  </si>
  <si>
    <t>KPI SSO – RESUMEN AUTOMÁTICO</t>
  </si>
  <si>
    <t>Los valores se calculan desde las hojas del sistema de gestión.</t>
  </si>
  <si>
    <t>Indicador</t>
  </si>
  <si>
    <t>Módulo</t>
  </si>
  <si>
    <t>Registros</t>
  </si>
  <si>
    <t>Días sin accidentes</t>
  </si>
  <si>
    <t>Actividades PRG SSO</t>
  </si>
  <si>
    <t>Cumplimiento PRG promedio</t>
  </si>
  <si>
    <t>Observaciones</t>
  </si>
  <si>
    <t>Registros de reportabilidad</t>
  </si>
  <si>
    <t>Inspecciones</t>
  </si>
  <si>
    <t>Inspecciones de seguridad</t>
  </si>
  <si>
    <t>Acciones pendientes</t>
  </si>
  <si>
    <t>Capacitaciones realizadas</t>
  </si>
  <si>
    <t>Protocolos MINSAL abiertos</t>
  </si>
  <si>
    <t>Certificaciones vencidas</t>
  </si>
  <si>
    <t>Febrero</t>
  </si>
  <si>
    <t>Abril</t>
  </si>
  <si>
    <t>Junio</t>
  </si>
  <si>
    <t>Septiembre</t>
  </si>
  <si>
    <t>Octubre</t>
  </si>
  <si>
    <t>Noviembre</t>
  </si>
  <si>
    <t>Diciembre</t>
  </si>
  <si>
    <t>Jose Acuña</t>
  </si>
  <si>
    <t>Maria Araya</t>
  </si>
  <si>
    <t xml:space="preserve">Daniel Carrasco </t>
  </si>
  <si>
    <t>Juan Fonseca</t>
  </si>
  <si>
    <t>SEGURIDAD</t>
  </si>
  <si>
    <t>BAPP</t>
  </si>
  <si>
    <t>Esteban Cáceres</t>
  </si>
  <si>
    <t>TEORICAS</t>
  </si>
  <si>
    <t>% CUMPLIMIENTO</t>
  </si>
  <si>
    <t>Real Año</t>
  </si>
  <si>
    <t>Teorica Año</t>
  </si>
  <si>
    <t>Avance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</si>
</sst>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&quot;%&quot;"/>
    <numFmt numFmtId="165" formatCode="yyyy"/>
  </numFmts>
  <fonts count="16">
    <font>
      <sz val="11"/>
      <name val="Carlito"/>
    </font>
    <font>
      <b/>
      <sz val="20"/>
      <color rgb="FFFFFFFF"/>
      <name val="Carlito"/>
    </font>
    <font>
      <b/>
      <sz val="12"/>
      <color rgb="FF051B14"/>
      <name val="Carlito"/>
    </font>
    <font>
      <b/>
      <sz val="11"/>
      <color rgb="FF92400E"/>
      <name val="Carlito"/>
    </font>
    <font>
      <b/>
      <sz val="11"/>
      <color rgb="FFFFFFFF"/>
      <name val="Carlito"/>
    </font>
    <font>
      <sz val="11"/>
      <color rgb="FF17251F"/>
      <name val="Carlito"/>
    </font>
    <font>
      <b/>
      <sz val="10"/>
      <color rgb="FFFFFFFF"/>
      <name val="Carlito"/>
    </font>
    <font>
      <sz val="10"/>
      <color rgb="FF17251F"/>
      <name val="Carlito"/>
    </font>
    <font>
      <b/>
      <sz val="19"/>
      <color rgb="FFFFFFFF"/>
      <name val="Carlito"/>
    </font>
    <font>
      <b/>
      <sz val="11"/>
      <color rgb="FF051B14"/>
      <name val="Carlito"/>
    </font>
    <font>
      <b/>
      <sz val="11"/>
      <color rgb="FFFFFFFF"/>
      <name val="Carlito"/>
    </font>
    <font>
      <sz val="11"/>
      <name val="Carlito"/>
    </font>
    <font>
      <sz val="8"/>
      <name val="Carlito"/>
    </font>
    <font>
      <sz val="10"/>
      <color theme="1"/>
      <name val="Arial"/>
      <family val="2"/>
    </font>
    <font>
      <sz val="10"/>
      <color rgb="FFFF0000"/>
      <name val="Carlito"/>
    </font>
    <font>
      <sz val="10"/>
      <color rgb="FFFF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051B14"/>
      </patternFill>
    </fill>
    <fill>
      <patternFill patternType="solid">
        <fgColor rgb="FF10B981"/>
      </patternFill>
    </fill>
    <fill>
      <patternFill patternType="solid">
        <fgColor rgb="FFFEF3C7"/>
      </patternFill>
    </fill>
    <fill>
      <patternFill patternType="solid">
        <fgColor rgb="FF07543E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07543E"/>
      </patternFill>
    </fill>
    <fill>
      <patternFill patternType="solid">
        <fgColor rgb="FFFFFFFF"/>
      </patternFill>
    </fill>
    <fill>
      <patternFill patternType="solid">
        <fgColor rgb="FF0B5D4B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808080"/>
      </right>
      <top style="medium">
        <color indexed="64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medium">
        <color indexed="64"/>
      </top>
      <bottom style="thin">
        <color rgb="FF808080"/>
      </bottom>
      <diagonal/>
    </border>
    <border>
      <left style="thin">
        <color rgb="FF808080"/>
      </left>
      <right style="medium">
        <color indexed="64"/>
      </right>
      <top style="medium">
        <color indexed="64"/>
      </top>
      <bottom style="thin">
        <color rgb="FF808080"/>
      </bottom>
      <diagonal/>
    </border>
    <border>
      <left style="medium">
        <color indexed="64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indexed="64"/>
      </right>
      <top style="thin">
        <color rgb="FF808080"/>
      </top>
      <bottom style="thin">
        <color rgb="FF808080"/>
      </bottom>
      <diagonal/>
    </border>
    <border>
      <left style="medium">
        <color indexed="64"/>
      </left>
      <right/>
      <top style="thin">
        <color rgb="FF808080"/>
      </top>
      <bottom style="medium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indexed="64"/>
      </bottom>
      <diagonal/>
    </border>
    <border>
      <left style="thin">
        <color rgb="FF808080"/>
      </left>
      <right style="medium">
        <color indexed="64"/>
      </right>
      <top style="thin">
        <color rgb="FF80808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808080"/>
      </bottom>
      <diagonal/>
    </border>
    <border>
      <left style="medium">
        <color indexed="64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indexed="64"/>
      </left>
      <right style="thin">
        <color rgb="FF808080"/>
      </right>
      <top style="thin">
        <color rgb="FF808080"/>
      </top>
      <bottom style="medium">
        <color indexed="64"/>
      </bottom>
      <diagonal/>
    </border>
  </borders>
  <cellStyleXfs count="2">
    <xf numFmtId="0" fontId="0" fillId="0" borderId="1"/>
    <xf numFmtId="9" fontId="11" fillId="0" borderId="0" applyFont="0" applyFill="0" applyBorder="0" applyAlignment="0" applyProtection="0"/>
  </cellStyleXfs>
  <cellXfs count="109">
    <xf numFmtId="0" fontId="0" fillId="0" borderId="0" xfId="0" applyBorder="1"/>
    <xf numFmtId="0" fontId="0" fillId="0" borderId="1" xfId="0"/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/>
    <xf numFmtId="0" fontId="5" fillId="6" borderId="0" xfId="0" applyFont="1" applyFill="1" applyBorder="1" applyAlignment="1">
      <alignment vertical="center" wrapText="1"/>
    </xf>
    <xf numFmtId="0" fontId="6" fillId="5" borderId="0" xfId="0" applyFont="1" applyFill="1" applyBorder="1" applyAlignment="1">
      <alignment horizontal="center" vertical="center" wrapText="1"/>
    </xf>
    <xf numFmtId="0" fontId="7" fillId="6" borderId="0" xfId="0" applyFont="1" applyFill="1" applyBorder="1" applyAlignment="1">
      <alignment vertical="center" wrapText="1"/>
    </xf>
    <xf numFmtId="14" fontId="7" fillId="6" borderId="0" xfId="0" applyNumberFormat="1" applyFont="1" applyFill="1" applyBorder="1" applyAlignment="1">
      <alignment vertical="center" wrapText="1"/>
    </xf>
    <xf numFmtId="14" fontId="0" fillId="0" borderId="0" xfId="0" applyNumberFormat="1" applyBorder="1"/>
    <xf numFmtId="14" fontId="0" fillId="0" borderId="1" xfId="0" applyNumberFormat="1"/>
    <xf numFmtId="1" fontId="7" fillId="6" borderId="0" xfId="0" applyNumberFormat="1" applyFont="1" applyFill="1" applyBorder="1" applyAlignment="1">
      <alignment vertical="center" wrapText="1"/>
    </xf>
    <xf numFmtId="1" fontId="0" fillId="0" borderId="0" xfId="0" applyNumberFormat="1" applyBorder="1"/>
    <xf numFmtId="164" fontId="0" fillId="0" borderId="0" xfId="0" applyNumberFormat="1" applyBorder="1"/>
    <xf numFmtId="164" fontId="5" fillId="6" borderId="0" xfId="0" applyNumberFormat="1" applyFont="1" applyFill="1" applyBorder="1"/>
    <xf numFmtId="0" fontId="0" fillId="0" borderId="0" xfId="0" applyBorder="1" applyAlignment="1">
      <alignment horizontal="center"/>
    </xf>
    <xf numFmtId="0" fontId="7" fillId="7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14" fontId="7" fillId="7" borderId="2" xfId="0" applyNumberFormat="1" applyFont="1" applyFill="1" applyBorder="1" applyAlignment="1">
      <alignment horizontal="center" vertical="center" wrapText="1"/>
    </xf>
    <xf numFmtId="14" fontId="0" fillId="0" borderId="2" xfId="0" applyNumberFormat="1" applyBorder="1"/>
    <xf numFmtId="14" fontId="7" fillId="6" borderId="2" xfId="0" applyNumberFormat="1" applyFont="1" applyFill="1" applyBorder="1" applyAlignment="1">
      <alignment vertical="center" wrapText="1"/>
    </xf>
    <xf numFmtId="0" fontId="7" fillId="6" borderId="2" xfId="0" applyFont="1" applyFill="1" applyBorder="1" applyAlignment="1">
      <alignment vertical="center" wrapText="1"/>
    </xf>
    <xf numFmtId="1" fontId="7" fillId="6" borderId="2" xfId="0" applyNumberFormat="1" applyFont="1" applyFill="1" applyBorder="1" applyAlignment="1">
      <alignment vertical="center" wrapText="1"/>
    </xf>
    <xf numFmtId="1" fontId="0" fillId="0" borderId="2" xfId="0" applyNumberFormat="1" applyBorder="1"/>
    <xf numFmtId="164" fontId="7" fillId="6" borderId="2" xfId="0" applyNumberFormat="1" applyFont="1" applyFill="1" applyBorder="1" applyAlignment="1">
      <alignment vertical="center" wrapText="1"/>
    </xf>
    <xf numFmtId="164" fontId="0" fillId="0" borderId="2" xfId="0" applyNumberFormat="1" applyBorder="1"/>
    <xf numFmtId="165" fontId="7" fillId="7" borderId="2" xfId="0" applyNumberFormat="1" applyFont="1" applyFill="1" applyBorder="1" applyAlignment="1">
      <alignment horizontal="center" vertical="center" wrapText="1"/>
    </xf>
    <xf numFmtId="0" fontId="6" fillId="8" borderId="0" xfId="0" applyFont="1" applyFill="1" applyBorder="1" applyAlignment="1">
      <alignment horizontal="center" vertical="center" wrapText="1"/>
    </xf>
    <xf numFmtId="14" fontId="7" fillId="9" borderId="2" xfId="0" applyNumberFormat="1" applyFont="1" applyFill="1" applyBorder="1" applyAlignment="1">
      <alignment vertical="center" wrapText="1"/>
    </xf>
    <xf numFmtId="0" fontId="7" fillId="9" borderId="2" xfId="0" applyFont="1" applyFill="1" applyBorder="1" applyAlignment="1">
      <alignment vertical="center" wrapText="1"/>
    </xf>
    <xf numFmtId="0" fontId="7" fillId="9" borderId="6" xfId="0" applyFont="1" applyFill="1" applyBorder="1" applyAlignment="1">
      <alignment vertical="center" wrapText="1"/>
    </xf>
    <xf numFmtId="0" fontId="7" fillId="9" borderId="9" xfId="0" applyFont="1" applyFill="1" applyBorder="1" applyAlignment="1">
      <alignment vertical="center" wrapText="1"/>
    </xf>
    <xf numFmtId="0" fontId="7" fillId="9" borderId="0" xfId="0" applyFont="1" applyFill="1" applyBorder="1" applyAlignment="1">
      <alignment vertical="center" wrapText="1"/>
    </xf>
    <xf numFmtId="14" fontId="7" fillId="9" borderId="10" xfId="0" applyNumberFormat="1" applyFont="1" applyFill="1" applyBorder="1" applyAlignment="1">
      <alignment vertical="center" wrapText="1"/>
    </xf>
    <xf numFmtId="0" fontId="7" fillId="9" borderId="5" xfId="0" applyFont="1" applyFill="1" applyBorder="1" applyAlignment="1">
      <alignment vertical="center" wrapText="1"/>
    </xf>
    <xf numFmtId="0" fontId="7" fillId="9" borderId="7" xfId="0" applyFont="1" applyFill="1" applyBorder="1" applyAlignment="1">
      <alignment vertical="center" wrapText="1"/>
    </xf>
    <xf numFmtId="14" fontId="7" fillId="9" borderId="11" xfId="0" applyNumberFormat="1" applyFont="1" applyFill="1" applyBorder="1" applyAlignment="1">
      <alignment vertical="center" wrapText="1"/>
    </xf>
    <xf numFmtId="0" fontId="7" fillId="9" borderId="4" xfId="0" applyFont="1" applyFill="1" applyBorder="1" applyAlignment="1">
      <alignment vertical="center" wrapText="1"/>
    </xf>
    <xf numFmtId="0" fontId="7" fillId="9" borderId="8" xfId="0" applyFont="1" applyFill="1" applyBorder="1" applyAlignment="1">
      <alignment vertical="center" wrapText="1"/>
    </xf>
    <xf numFmtId="14" fontId="7" fillId="9" borderId="12" xfId="0" applyNumberFormat="1" applyFont="1" applyFill="1" applyBorder="1" applyAlignment="1">
      <alignment vertical="center" wrapText="1"/>
    </xf>
    <xf numFmtId="14" fontId="7" fillId="9" borderId="13" xfId="0" applyNumberFormat="1" applyFont="1" applyFill="1" applyBorder="1" applyAlignment="1">
      <alignment vertical="center" wrapText="1"/>
    </xf>
    <xf numFmtId="0" fontId="7" fillId="9" borderId="14" xfId="0" applyFont="1" applyFill="1" applyBorder="1" applyAlignment="1">
      <alignment vertical="center" wrapText="1"/>
    </xf>
    <xf numFmtId="14" fontId="7" fillId="9" borderId="2" xfId="0" applyNumberFormat="1" applyFont="1" applyFill="1" applyBorder="1" applyAlignment="1">
      <alignment horizontal="center" vertical="center" wrapText="1"/>
    </xf>
    <xf numFmtId="14" fontId="7" fillId="9" borderId="0" xfId="0" applyNumberFormat="1" applyFont="1" applyFill="1" applyBorder="1" applyAlignment="1">
      <alignment vertical="center" wrapText="1"/>
    </xf>
    <xf numFmtId="14" fontId="7" fillId="9" borderId="14" xfId="0" applyNumberFormat="1" applyFont="1" applyFill="1" applyBorder="1" applyAlignment="1">
      <alignment vertical="center" wrapText="1"/>
    </xf>
    <xf numFmtId="1" fontId="7" fillId="9" borderId="0" xfId="0" applyNumberFormat="1" applyFont="1" applyFill="1" applyBorder="1" applyAlignment="1">
      <alignment vertical="center" wrapText="1"/>
    </xf>
    <xf numFmtId="1" fontId="7" fillId="9" borderId="14" xfId="0" applyNumberFormat="1" applyFont="1" applyFill="1" applyBorder="1" applyAlignment="1">
      <alignment vertical="center" wrapText="1"/>
    </xf>
    <xf numFmtId="1" fontId="7" fillId="9" borderId="9" xfId="0" applyNumberFormat="1" applyFont="1" applyFill="1" applyBorder="1" applyAlignment="1">
      <alignment horizontal="center" vertical="center" wrapText="1"/>
    </xf>
    <xf numFmtId="1" fontId="7" fillId="9" borderId="0" xfId="0" applyNumberFormat="1" applyFont="1" applyFill="1" applyBorder="1" applyAlignment="1">
      <alignment horizontal="center" vertical="center" wrapText="1"/>
    </xf>
    <xf numFmtId="0" fontId="0" fillId="0" borderId="15" xfId="0" applyBorder="1"/>
    <xf numFmtId="14" fontId="0" fillId="0" borderId="15" xfId="0" applyNumberFormat="1" applyBorder="1"/>
    <xf numFmtId="0" fontId="0" fillId="0" borderId="15" xfId="0" applyBorder="1" applyAlignment="1">
      <alignment horizontal="left"/>
    </xf>
    <xf numFmtId="0" fontId="0" fillId="0" borderId="1" xfId="0" applyAlignment="1">
      <alignment horizontal="left"/>
    </xf>
    <xf numFmtId="0" fontId="0" fillId="0" borderId="0" xfId="0" applyBorder="1" applyAlignment="1">
      <alignment horizontal="left"/>
    </xf>
    <xf numFmtId="0" fontId="0" fillId="11" borderId="15" xfId="0" applyFill="1" applyBorder="1" applyAlignment="1">
      <alignment horizontal="left"/>
    </xf>
    <xf numFmtId="0" fontId="0" fillId="11" borderId="0" xfId="0" applyFill="1" applyBorder="1"/>
    <xf numFmtId="0" fontId="0" fillId="11" borderId="15" xfId="0" applyFill="1" applyBorder="1" applyAlignment="1">
      <alignment horizontal="center" vertical="center" wrapText="1"/>
    </xf>
    <xf numFmtId="0" fontId="0" fillId="12" borderId="15" xfId="0" applyFill="1" applyBorder="1" applyAlignment="1">
      <alignment horizontal="center" vertical="center" wrapText="1"/>
    </xf>
    <xf numFmtId="0" fontId="10" fillId="10" borderId="16" xfId="0" applyFont="1" applyFill="1" applyBorder="1" applyAlignment="1">
      <alignment horizontal="center" vertical="center"/>
    </xf>
    <xf numFmtId="0" fontId="4" fillId="10" borderId="16" xfId="0" applyFont="1" applyFill="1" applyBorder="1" applyAlignment="1">
      <alignment horizontal="center" vertical="center"/>
    </xf>
    <xf numFmtId="0" fontId="7" fillId="13" borderId="20" xfId="0" applyFont="1" applyFill="1" applyBorder="1" applyAlignment="1">
      <alignment horizontal="center" vertical="center" wrapText="1"/>
    </xf>
    <xf numFmtId="0" fontId="7" fillId="13" borderId="21" xfId="0" applyFont="1" applyFill="1" applyBorder="1" applyAlignment="1">
      <alignment horizontal="center" vertical="center" wrapText="1"/>
    </xf>
    <xf numFmtId="0" fontId="7" fillId="13" borderId="22" xfId="0" applyFont="1" applyFill="1" applyBorder="1" applyAlignment="1">
      <alignment horizontal="center" vertical="center" wrapText="1"/>
    </xf>
    <xf numFmtId="0" fontId="7" fillId="13" borderId="23" xfId="0" applyFont="1" applyFill="1" applyBorder="1" applyAlignment="1">
      <alignment horizontal="center" vertical="center" wrapText="1"/>
    </xf>
    <xf numFmtId="0" fontId="7" fillId="13" borderId="4" xfId="0" applyFont="1" applyFill="1" applyBorder="1" applyAlignment="1">
      <alignment horizontal="center" vertical="center" wrapText="1"/>
    </xf>
    <xf numFmtId="0" fontId="7" fillId="13" borderId="17" xfId="0" applyFont="1" applyFill="1" applyBorder="1" applyAlignment="1">
      <alignment horizontal="center" vertical="center" wrapText="1"/>
    </xf>
    <xf numFmtId="0" fontId="13" fillId="13" borderId="4" xfId="0" applyFont="1" applyFill="1" applyBorder="1" applyAlignment="1">
      <alignment horizontal="center" wrapText="1"/>
    </xf>
    <xf numFmtId="0" fontId="13" fillId="13" borderId="17" xfId="0" applyFont="1" applyFill="1" applyBorder="1" applyAlignment="1">
      <alignment horizontal="center" wrapText="1"/>
    </xf>
    <xf numFmtId="0" fontId="7" fillId="13" borderId="24" xfId="0" applyFont="1" applyFill="1" applyBorder="1" applyAlignment="1">
      <alignment horizontal="center" vertical="center" wrapText="1"/>
    </xf>
    <xf numFmtId="0" fontId="7" fillId="13" borderId="18" xfId="0" applyFont="1" applyFill="1" applyBorder="1" applyAlignment="1">
      <alignment horizontal="center" vertical="center" wrapText="1"/>
    </xf>
    <xf numFmtId="9" fontId="7" fillId="13" borderId="18" xfId="1" applyFont="1" applyFill="1" applyBorder="1" applyAlignment="1">
      <alignment horizontal="center" vertical="center" wrapText="1"/>
    </xf>
    <xf numFmtId="9" fontId="7" fillId="13" borderId="25" xfId="1" applyFont="1" applyFill="1" applyBorder="1" applyAlignment="1">
      <alignment horizontal="center" vertical="center" wrapText="1"/>
    </xf>
    <xf numFmtId="14" fontId="0" fillId="0" borderId="19" xfId="0" applyNumberFormat="1" applyBorder="1"/>
    <xf numFmtId="0" fontId="0" fillId="0" borderId="19" xfId="0" applyBorder="1"/>
    <xf numFmtId="0" fontId="0" fillId="0" borderId="19" xfId="0" applyBorder="1" applyAlignment="1">
      <alignment horizontal="left"/>
    </xf>
    <xf numFmtId="0" fontId="7" fillId="12" borderId="26" xfId="0" applyFont="1" applyFill="1" applyBorder="1" applyAlignment="1">
      <alignment horizontal="center" vertical="center" wrapText="1"/>
    </xf>
    <xf numFmtId="0" fontId="7" fillId="12" borderId="27" xfId="0" applyFont="1" applyFill="1" applyBorder="1" applyAlignment="1">
      <alignment horizontal="center" vertical="center" wrapText="1"/>
    </xf>
    <xf numFmtId="0" fontId="7" fillId="12" borderId="28" xfId="0" applyFont="1" applyFill="1" applyBorder="1" applyAlignment="1">
      <alignment horizontal="center" vertical="center" wrapText="1"/>
    </xf>
    <xf numFmtId="14" fontId="0" fillId="12" borderId="29" xfId="0" applyNumberFormat="1" applyFill="1" applyBorder="1" applyAlignment="1">
      <alignment horizontal="center"/>
    </xf>
    <xf numFmtId="0" fontId="0" fillId="12" borderId="30" xfId="0" applyFill="1" applyBorder="1" applyAlignment="1">
      <alignment horizontal="center" vertical="center" wrapText="1"/>
    </xf>
    <xf numFmtId="14" fontId="0" fillId="12" borderId="31" xfId="0" applyNumberFormat="1" applyFill="1" applyBorder="1" applyAlignment="1">
      <alignment horizontal="center"/>
    </xf>
    <xf numFmtId="9" fontId="0" fillId="12" borderId="32" xfId="1" applyFont="1" applyFill="1" applyBorder="1" applyAlignment="1">
      <alignment horizontal="center" vertical="center" wrapText="1"/>
    </xf>
    <xf numFmtId="9" fontId="0" fillId="12" borderId="33" xfId="1" applyFont="1" applyFill="1" applyBorder="1" applyAlignment="1">
      <alignment horizontal="center" vertical="center" wrapText="1"/>
    </xf>
    <xf numFmtId="0" fontId="0" fillId="14" borderId="15" xfId="0" applyFill="1" applyBorder="1" applyAlignment="1">
      <alignment horizontal="center" vertical="center" wrapText="1"/>
    </xf>
    <xf numFmtId="0" fontId="7" fillId="12" borderId="34" xfId="0" applyFont="1" applyFill="1" applyBorder="1" applyAlignment="1">
      <alignment horizontal="center" vertical="center" wrapText="1"/>
    </xf>
    <xf numFmtId="0" fontId="0" fillId="11" borderId="19" xfId="0" applyFill="1" applyBorder="1" applyAlignment="1">
      <alignment horizontal="left"/>
    </xf>
    <xf numFmtId="0" fontId="0" fillId="14" borderId="27" xfId="0" applyFill="1" applyBorder="1" applyAlignment="1">
      <alignment horizontal="center" vertical="center" wrapText="1"/>
    </xf>
    <xf numFmtId="9" fontId="0" fillId="14" borderId="28" xfId="1" applyFont="1" applyFill="1" applyBorder="1" applyAlignment="1">
      <alignment horizontal="center" vertical="center" wrapText="1"/>
    </xf>
    <xf numFmtId="0" fontId="7" fillId="12" borderId="35" xfId="0" applyFont="1" applyFill="1" applyBorder="1" applyAlignment="1">
      <alignment horizontal="center" vertical="center" wrapText="1"/>
    </xf>
    <xf numFmtId="0" fontId="0" fillId="11" borderId="30" xfId="0" applyFill="1" applyBorder="1" applyAlignment="1">
      <alignment horizontal="center" vertical="center" wrapText="1"/>
    </xf>
    <xf numFmtId="0" fontId="7" fillId="12" borderId="36" xfId="0" applyFont="1" applyFill="1" applyBorder="1" applyAlignment="1">
      <alignment horizontal="center" vertical="center" wrapText="1"/>
    </xf>
    <xf numFmtId="0" fontId="0" fillId="11" borderId="32" xfId="0" applyFill="1" applyBorder="1" applyAlignment="1">
      <alignment horizontal="center" vertical="center" wrapText="1"/>
    </xf>
    <xf numFmtId="0" fontId="0" fillId="11" borderId="33" xfId="0" applyFill="1" applyBorder="1" applyAlignment="1">
      <alignment horizontal="center" vertical="center" wrapText="1"/>
    </xf>
    <xf numFmtId="0" fontId="4" fillId="10" borderId="16" xfId="0" applyFont="1" applyFill="1" applyBorder="1" applyAlignment="1">
      <alignment horizontal="center" vertical="center" wrapText="1"/>
    </xf>
    <xf numFmtId="0" fontId="0" fillId="11" borderId="27" xfId="0" applyFill="1" applyBorder="1" applyAlignment="1">
      <alignment horizontal="center" vertical="center" wrapText="1"/>
    </xf>
    <xf numFmtId="9" fontId="0" fillId="11" borderId="28" xfId="1" applyFont="1" applyFill="1" applyBorder="1" applyAlignment="1">
      <alignment horizontal="center" vertical="center" wrapText="1"/>
    </xf>
    <xf numFmtId="9" fontId="0" fillId="11" borderId="30" xfId="1" applyFont="1" applyFill="1" applyBorder="1" applyAlignment="1">
      <alignment horizontal="center" vertical="center" wrapText="1"/>
    </xf>
    <xf numFmtId="9" fontId="0" fillId="14" borderId="30" xfId="1" applyFont="1" applyFill="1" applyBorder="1" applyAlignment="1">
      <alignment horizontal="center" vertical="center" wrapText="1"/>
    </xf>
    <xf numFmtId="9" fontId="0" fillId="11" borderId="32" xfId="1" applyFont="1" applyFill="1" applyBorder="1" applyAlignment="1">
      <alignment horizontal="center" vertical="center" wrapText="1"/>
    </xf>
    <xf numFmtId="0" fontId="14" fillId="13" borderId="21" xfId="0" applyFont="1" applyFill="1" applyBorder="1" applyAlignment="1">
      <alignment horizontal="center" vertical="center" wrapText="1"/>
    </xf>
    <xf numFmtId="0" fontId="14" fillId="13" borderId="4" xfId="0" applyFont="1" applyFill="1" applyBorder="1" applyAlignment="1">
      <alignment horizontal="center" vertical="center" wrapText="1"/>
    </xf>
    <xf numFmtId="0" fontId="15" fillId="13" borderId="4" xfId="0" applyFont="1" applyFill="1" applyBorder="1" applyAlignment="1">
      <alignment horizontal="center" wrapText="1"/>
    </xf>
    <xf numFmtId="9" fontId="14" fillId="13" borderId="18" xfId="1" applyFont="1" applyFill="1" applyBorder="1" applyAlignment="1">
      <alignment horizontal="center" vertical="center" wrapText="1"/>
    </xf>
    <xf numFmtId="0" fontId="1" fillId="2" borderId="1" xfId="0" applyFont="1" applyFill="1" applyAlignment="1">
      <alignment horizontal="center" vertical="center"/>
    </xf>
    <xf numFmtId="0" fontId="0" fillId="0" borderId="0" xfId="0" applyBorder="1"/>
    <xf numFmtId="0" fontId="2" fillId="3" borderId="1" xfId="0" applyFont="1" applyFill="1" applyAlignment="1">
      <alignment horizontal="center"/>
    </xf>
    <xf numFmtId="0" fontId="3" fillId="4" borderId="1" xfId="0" applyFont="1" applyFill="1" applyAlignment="1">
      <alignment horizontal="center" vertical="center" wrapText="1"/>
    </xf>
    <xf numFmtId="0" fontId="8" fillId="2" borderId="1" xfId="0" applyFont="1" applyFill="1" applyAlignment="1">
      <alignment horizontal="center" vertical="center"/>
    </xf>
    <xf numFmtId="0" fontId="9" fillId="3" borderId="1" xfId="0" applyFont="1" applyFill="1" applyAlignment="1">
      <alignment horizontal="center"/>
    </xf>
  </cellXfs>
  <cellStyles count="2">
    <cellStyle name="Normal" xfId="0" builtinId="0"/>
    <cellStyle name="Porcentaje" xfId="1" builtinId="5"/>
  </cellStyles>
  <dxfs count="75"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i/>
        <color rgb="FF374151"/>
      </font>
      <fill>
        <patternFill patternType="solid">
          <bgColor rgb="FFE5E7EB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1D4ED8"/>
      </font>
      <fill>
        <patternFill>
          <bgColor rgb="FFDBEAFE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1D4ED8"/>
      </font>
      <fill>
        <patternFill>
          <bgColor rgb="FFDBEAFE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1D4ED8"/>
      </font>
      <fill>
        <patternFill>
          <bgColor rgb="FFDBEAFE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1D4ED8"/>
      </font>
      <fill>
        <patternFill>
          <bgColor rgb="FFDBEAFE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1D4ED8"/>
      </font>
      <fill>
        <patternFill>
          <bgColor rgb="FFDBEAFE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1D4ED8"/>
      </font>
      <fill>
        <patternFill>
          <bgColor rgb="FFDBEAFE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1D4ED8"/>
      </font>
      <fill>
        <patternFill>
          <bgColor rgb="FFDBEAFE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1D4ED8"/>
      </font>
      <fill>
        <patternFill>
          <bgColor rgb="FFDBEAFE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166534"/>
      </font>
      <fill>
        <patternFill>
          <bgColor rgb="FFDCFCE7"/>
        </patternFill>
      </fill>
    </dxf>
    <dxf>
      <numFmt numFmtId="0" formatCode="General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808080"/>
        </left>
        <right style="thin">
          <color rgb="FF808080"/>
        </right>
      </border>
    </dxf>
    <dxf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outline="0">
        <left style="thin">
          <color rgb="FF808080"/>
        </left>
        <right style="thin">
          <color rgb="FF808080"/>
        </right>
      </border>
    </dxf>
    <dxf>
      <numFmt numFmtId="0" formatCode="General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808080"/>
        </left>
        <right style="thin">
          <color rgb="FF808080"/>
        </right>
      </border>
    </dxf>
    <dxf>
      <alignment horizontal="center" vertical="center" textRotation="0" wrapText="1" indent="0" justifyLastLine="0" shrinkToFit="0" readingOrder="0"/>
      <border outline="0">
        <left style="thin">
          <color rgb="FF808080"/>
        </left>
        <right style="thin">
          <color rgb="FF808080"/>
        </right>
      </border>
    </dxf>
    <dxf>
      <alignment horizontal="center" vertical="center" textRotation="0" wrapText="1" indent="0" justifyLastLine="0" shrinkToFit="0" readingOrder="0"/>
      <border outline="0">
        <left style="thin">
          <color rgb="FF808080"/>
        </left>
        <right style="thin">
          <color rgb="FF808080"/>
        </right>
      </border>
    </dxf>
    <dxf>
      <alignment horizontal="center" vertical="center" textRotation="0" wrapText="1" indent="0" justifyLastLine="0" shrinkToFit="0" readingOrder="0"/>
      <border outline="0">
        <left style="thin">
          <color rgb="FF808080"/>
        </left>
        <right style="thin">
          <color rgb="FF808080"/>
        </right>
      </border>
    </dxf>
    <dxf>
      <alignment horizontal="center" vertical="center" textRotation="0" wrapText="1" indent="0" justifyLastLine="0" shrinkToFit="0" readingOrder="0"/>
      <border outline="0">
        <left style="thin">
          <color rgb="FF808080"/>
        </left>
        <right style="thin">
          <color rgb="FF808080"/>
        </right>
      </border>
    </dxf>
    <dxf>
      <alignment horizontal="center" vertical="center" textRotation="0" wrapText="1" indent="0" justifyLastLine="0" shrinkToFit="0" readingOrder="0"/>
      <border outline="0">
        <left style="thin">
          <color rgb="FF808080"/>
        </left>
        <right style="thin">
          <color rgb="FF808080"/>
        </right>
      </border>
    </dxf>
    <dxf>
      <alignment horizontal="center" vertical="center" textRotation="0" wrapText="1" indent="0" justifyLastLine="0" shrinkToFit="0" readingOrder="0"/>
      <border outline="0">
        <left style="thin">
          <color rgb="FF808080"/>
        </left>
        <right style="thin">
          <color rgb="FF808080"/>
        </right>
      </border>
    </dxf>
    <dxf>
      <alignment horizontal="center" vertical="center" textRotation="0" wrapText="1" indent="0" justifyLastLine="0" shrinkToFit="0" readingOrder="0"/>
      <border outline="0">
        <left style="thin">
          <color rgb="FF808080"/>
        </left>
        <right style="thin">
          <color rgb="FF808080"/>
        </right>
      </border>
    </dxf>
    <dxf>
      <alignment horizontal="center" vertical="center" textRotation="0" wrapText="1" indent="0" justifyLastLine="0" shrinkToFit="0" readingOrder="0"/>
      <border outline="0">
        <left style="thin">
          <color rgb="FF808080"/>
        </left>
        <right style="thin">
          <color rgb="FF808080"/>
        </right>
      </border>
    </dxf>
    <dxf>
      <alignment horizontal="center" vertical="center" textRotation="0" wrapText="1" indent="0" justifyLastLine="0" shrinkToFit="0" readingOrder="0"/>
      <border outline="0">
        <left style="thin">
          <color rgb="FF808080"/>
        </left>
        <right style="thin">
          <color rgb="FF808080"/>
        </right>
      </border>
    </dxf>
    <dxf>
      <alignment horizontal="center" vertical="center" textRotation="0" wrapText="1" indent="0" justifyLastLine="0" shrinkToFit="0" readingOrder="0"/>
      <border outline="0">
        <left style="thin">
          <color rgb="FF808080"/>
        </left>
        <right style="thin">
          <color rgb="FF808080"/>
        </right>
      </border>
    </dxf>
    <dxf>
      <alignment horizontal="center" vertical="center" textRotation="0" wrapText="1" indent="0" justifyLastLine="0" shrinkToFit="0" readingOrder="0"/>
      <border outline="0">
        <left style="thin">
          <color rgb="FF808080"/>
        </left>
        <right style="thin">
          <color rgb="FF808080"/>
        </right>
      </border>
    </dxf>
    <dxf>
      <alignment horizontal="center" vertical="center" textRotation="0" wrapText="1" indent="0" justifyLastLine="0" shrinkToFit="0" readingOrder="0"/>
      <border outline="0">
        <right style="thin">
          <color rgb="FF808080"/>
        </right>
      </border>
    </dxf>
    <dxf>
      <alignment horizontal="center"/>
      <border outline="0">
        <right style="thin">
          <color rgb="FF808080"/>
        </right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r>
              <a:t>Registros por módulo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Registros</c:v>
          </c:tx>
          <c:spPr>
            <a:ln>
              <a:prstDash val="solid"/>
            </a:ln>
          </c:spPr>
          <c:invertIfNegative val="1"/>
          <c:cat>
            <c:strRef>
              <c:f>KPI_SSO!$D$6:$D$11</c:f>
              <c:strCache>
                <c:ptCount val="6"/>
                <c:pt idx="0">
                  <c:v>PRG SSO 2026</c:v>
                </c:pt>
                <c:pt idx="1">
                  <c:v>Reportabilidad</c:v>
                </c:pt>
                <c:pt idx="2">
                  <c:v>Observaciones</c:v>
                </c:pt>
                <c:pt idx="3">
                  <c:v>Inspecciones</c:v>
                </c:pt>
                <c:pt idx="4">
                  <c:v>Control Operacional</c:v>
                </c:pt>
                <c:pt idx="5">
                  <c:v>Certificaciones</c:v>
                </c:pt>
              </c:strCache>
            </c:strRef>
          </c:cat>
          <c:val>
            <c:numRef>
              <c:f>KPI_SSO!$E$6:$E$11</c:f>
              <c:numCache>
                <c:formatCode>General</c:formatCode>
                <c:ptCount val="6"/>
                <c:pt idx="0">
                  <c:v>5</c:v>
                </c:pt>
                <c:pt idx="1">
                  <c:v>5</c:v>
                </c:pt>
                <c:pt idx="2">
                  <c:v>0</c:v>
                </c:pt>
                <c:pt idx="3">
                  <c:v>5</c:v>
                </c:pt>
                <c:pt idx="4">
                  <c:v>5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A0-4CE8-99F7-76AFD55D1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12</xdr:row>
      <xdr:rowOff>0</xdr:rowOff>
    </xdr:from>
    <xdr:to>
      <xdr:col>8</xdr:col>
      <xdr:colOff>0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PRGSSO2026" displayName="TablaPRGSSO2026" ref="A1:L6">
  <tableColumns count="12">
    <tableColumn id="1" xr3:uid="{00000000-0010-0000-0000-000001000000}" name="Fecha"/>
    <tableColumn id="2" xr3:uid="{00000000-0010-0000-0000-000002000000}" name="Mes"/>
    <tableColumn id="3" xr3:uid="{00000000-0010-0000-0000-000003000000}" name="Actividad"/>
    <tableColumn id="4" xr3:uid="{00000000-0010-0000-0000-000004000000}" name="Tipo_Actividad"/>
    <tableColumn id="5" xr3:uid="{00000000-0010-0000-0000-000005000000}" name="Área"/>
    <tableColumn id="6" xr3:uid="{00000000-0010-0000-0000-000006000000}" name="Responsable"/>
    <tableColumn id="7" xr3:uid="{00000000-0010-0000-0000-000007000000}" name="Meta"/>
    <tableColumn id="8" xr3:uid="{00000000-0010-0000-0000-000008000000}" name="Resultado"/>
    <tableColumn id="9" xr3:uid="{00000000-0010-0000-0000-000009000000}" name="Cumplimiento"/>
    <tableColumn id="10" xr3:uid="{00000000-0010-0000-0000-00000A000000}" name="Estado"/>
    <tableColumn id="11" xr3:uid="{00000000-0010-0000-0000-00000B000000}" name="Evidencia"/>
    <tableColumn id="12" xr3:uid="{00000000-0010-0000-0000-00000C000000}" name="Observac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Reportabilidad" displayName="TablaReportabilidad" ref="A1:I6">
  <tableColumns count="9">
    <tableColumn id="1" xr3:uid="{00000000-0010-0000-0100-000001000000}" name="Fecha"/>
    <tableColumn id="2" xr3:uid="{00000000-0010-0000-0100-000002000000}" name="Área"/>
    <tableColumn id="3" xr3:uid="{00000000-0010-0000-0100-000003000000}" name="Tipo_Evento"/>
    <tableColumn id="4" xr3:uid="{00000000-0010-0000-0100-000004000000}" name="Gravedad"/>
    <tableColumn id="5" xr3:uid="{00000000-0010-0000-0100-000005000000}" name="Descripcion"/>
    <tableColumn id="6" xr3:uid="{00000000-0010-0000-0100-000006000000}" name="Accion_Inmediata"/>
    <tableColumn id="7" xr3:uid="{00000000-0010-0000-0100-000007000000}" name="Responsable"/>
    <tableColumn id="8" xr3:uid="{00000000-0010-0000-0100-000008000000}" name="Estado"/>
    <tableColumn id="9" xr3:uid="{00000000-0010-0000-0100-000009000000}" name="Observac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ObservacionesSSOBAPP" displayName="TablaObservacionesSSOBAPP" ref="A1:Q11" dataDxfId="74">
  <tableColumns count="17">
    <tableColumn id="3" xr3:uid="{00000000-0010-0000-0200-000003000000}" name="Observador" dataDxfId="73"/>
    <tableColumn id="13" xr3:uid="{00000000-0010-0000-0200-00000D000000}" name="Tipo Observación" dataDxfId="72"/>
    <tableColumn id="2" xr3:uid="{09636DC6-F9B7-4088-8A7F-CF6F7A229264}" name="Enero" dataDxfId="71"/>
    <tableColumn id="4" xr3:uid="{4B1AAEB7-A47A-4767-82B0-146694EFA632}" name="Febrero" dataDxfId="70"/>
    <tableColumn id="5" xr3:uid="{DC6E741C-E60D-4769-98CB-C1930E847238}" name="Marzo" dataDxfId="69"/>
    <tableColumn id="6" xr3:uid="{5AC23C41-D502-4EC8-8D67-F0A5AFA73267}" name="Abril" dataDxfId="68"/>
    <tableColumn id="7" xr3:uid="{5D283F7C-0B8B-4C5F-BAE8-2229ABC10E08}" name="Mayo" dataDxfId="67"/>
    <tableColumn id="8" xr3:uid="{FCD481E9-49B2-47FF-ABC1-690CE8ED4C91}" name="Junio" dataDxfId="66"/>
    <tableColumn id="9" xr3:uid="{A6984DB1-1B3F-4C14-BF4A-3E7B28B579E8}" name="Julio" dataDxfId="65"/>
    <tableColumn id="10" xr3:uid="{3BA352CA-5740-4800-B2A1-E64AC0A7BDEE}" name="Agosto" dataDxfId="64"/>
    <tableColumn id="11" xr3:uid="{4EDB1F7F-4F34-4D99-8593-9FADF7FBFCCE}" name="Septiembre" dataDxfId="63"/>
    <tableColumn id="12" xr3:uid="{78131D1C-BEEA-49D6-9ABD-9DE838D1E702}" name="Octubre" dataDxfId="62"/>
    <tableColumn id="14" xr3:uid="{766CBAB9-9DED-411A-91E3-D499E9D20E0E}" name="Noviembre" dataDxfId="61"/>
    <tableColumn id="15" xr3:uid="{EF28A655-9778-4E34-9944-F4E104521BBE}" name="Diciembre" dataDxfId="60"/>
    <tableColumn id="16" xr3:uid="{5960415C-B2A7-4812-9BAF-1B2307852F8C}" name="Real Año" dataDxfId="59">
      <calculatedColumnFormula>SUM(TablaObservacionesSSOBAPP[[#This Row],[Enero]:[Diciembre]])</calculatedColumnFormula>
    </tableColumn>
    <tableColumn id="17" xr3:uid="{D5360D5F-6153-426F-BC96-60B91AA698ED}" name="Teorica Año" dataDxfId="58"/>
    <tableColumn id="18" xr3:uid="{9AD67FD7-801F-4700-A065-887DC6BA5C10}" name="Avance" dataDxfId="57">
      <calculatedColumnFormula>+TablaObservacionesSSOBAPP[[#This Row],[Real Año]]/TablaObservacionesSSOBAPP[[#This Row],[Teorica Año]]*1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InspeccionesSeguridad" displayName="TablaInspeccionesSeguridad" ref="A1:I6">
  <tableColumns count="9">
    <tableColumn id="1" xr3:uid="{00000000-0010-0000-0300-000001000000}" name="Fecha"/>
    <tableColumn id="2" xr3:uid="{00000000-0010-0000-0300-000002000000}" name="Área"/>
    <tableColumn id="3" xr3:uid="{00000000-0010-0000-0300-000003000000}" name="Tipo_Inspeccion"/>
    <tableColumn id="4" xr3:uid="{00000000-0010-0000-0300-000004000000}" name="Resultado"/>
    <tableColumn id="5" xr3:uid="{00000000-0010-0000-0300-000005000000}" name="Hallazgos"/>
    <tableColumn id="6" xr3:uid="{00000000-0010-0000-0300-000006000000}" name="Responsable"/>
    <tableColumn id="7" xr3:uid="{00000000-0010-0000-0300-000007000000}" name="Fecha_Compromiso"/>
    <tableColumn id="8" xr3:uid="{00000000-0010-0000-0300-000008000000}" name="Estado"/>
    <tableColumn id="9" xr3:uid="{00000000-0010-0000-0300-000009000000}" name="Observac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ControlOperacional" displayName="TablaControlOperacional" ref="A1:J6">
  <tableColumns count="10">
    <tableColumn id="1" xr3:uid="{00000000-0010-0000-0400-000001000000}" name="Fecha"/>
    <tableColumn id="2" xr3:uid="{00000000-0010-0000-0400-000002000000}" name="Origen"/>
    <tableColumn id="3" xr3:uid="{00000000-0010-0000-0400-000003000000}" name="Área"/>
    <tableColumn id="4" xr3:uid="{00000000-0010-0000-0400-000004000000}" name="Hallazgo"/>
    <tableColumn id="5" xr3:uid="{00000000-0010-0000-0400-000005000000}" name="Accion_Correctiva"/>
    <tableColumn id="6" xr3:uid="{00000000-0010-0000-0400-000006000000}" name="Responsable"/>
    <tableColumn id="7" xr3:uid="{00000000-0010-0000-0400-000007000000}" name="Fecha_Compromiso"/>
    <tableColumn id="8" xr3:uid="{00000000-0010-0000-0400-000008000000}" name="Estado"/>
    <tableColumn id="9" xr3:uid="{00000000-0010-0000-0400-000009000000}" name="Evidencia"/>
    <tableColumn id="10" xr3:uid="{00000000-0010-0000-0400-00000A000000}" name="Observac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Capacitaciones" displayName="TablaCapacitaciones" ref="A1:I6">
  <tableColumns count="9">
    <tableColumn id="1" xr3:uid="{00000000-0010-0000-0500-000001000000}" name="Fecha"/>
    <tableColumn id="2" xr3:uid="{00000000-0010-0000-0500-000002000000}" name="Tema"/>
    <tableColumn id="3" xr3:uid="{00000000-0010-0000-0500-000003000000}" name="Tipo"/>
    <tableColumn id="4" xr3:uid="{00000000-0010-0000-0500-000004000000}" name="Área"/>
    <tableColumn id="5" xr3:uid="{00000000-0010-0000-0500-000005000000}" name="Relator"/>
    <tableColumn id="6" xr3:uid="{00000000-0010-0000-0500-000006000000}" name="Asistentes"/>
    <tableColumn id="7" xr3:uid="{00000000-0010-0000-0500-000007000000}" name="Vencimiento"/>
    <tableColumn id="8" xr3:uid="{00000000-0010-0000-0500-000008000000}" name="Estado"/>
    <tableColumn id="9" xr3:uid="{00000000-0010-0000-0500-000009000000}" name="Observac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aReconocimientos" displayName="TablaReconocimientos" ref="A1:H7">
  <tableColumns count="8">
    <tableColumn id="1" xr3:uid="{00000000-0010-0000-0600-000001000000}" name="Fecha"/>
    <tableColumn id="2" xr3:uid="{00000000-0010-0000-0600-000002000000}" name="Trabajador"/>
    <tableColumn id="3" xr3:uid="{00000000-0010-0000-0600-000003000000}" name="Cargo"/>
    <tableColumn id="6" xr3:uid="{00000000-0010-0000-0600-000006000000}" name="Motivo"/>
    <tableColumn id="7" xr3:uid="{00000000-0010-0000-0600-000007000000}" name="Periodo"/>
    <tableColumn id="9" xr3:uid="{00000000-0010-0000-0600-000009000000}" name="Estado"/>
    <tableColumn id="10" xr3:uid="{00000000-0010-0000-0600-00000A000000}" name="Evidencia"/>
    <tableColumn id="11" xr3:uid="{00000000-0010-0000-0600-00000B000000}" name="Observac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aComiteParitario" displayName="TablaComiteParitario" ref="A1:J5">
  <tableColumns count="10">
    <tableColumn id="1" xr3:uid="{00000000-0010-0000-0700-000001000000}" name="Fecha"/>
    <tableColumn id="2" xr3:uid="{00000000-0010-0000-0700-000002000000}" name="Tipo_Reunion"/>
    <tableColumn id="3" xr3:uid="{00000000-0010-0000-0700-000003000000}" name="Área"/>
    <tableColumn id="4" xr3:uid="{00000000-0010-0000-0700-000004000000}" name="Tema"/>
    <tableColumn id="5" xr3:uid="{00000000-0010-0000-0700-000005000000}" name="Acuerdo"/>
    <tableColumn id="6" xr3:uid="{00000000-0010-0000-0700-000006000000}" name="Responsable"/>
    <tableColumn id="7" xr3:uid="{00000000-0010-0000-0700-000007000000}" name="Fecha_Compromiso"/>
    <tableColumn id="8" xr3:uid="{00000000-0010-0000-0700-000008000000}" name="Estado"/>
    <tableColumn id="9" xr3:uid="{00000000-0010-0000-0700-000009000000}" name="Evidencia"/>
    <tableColumn id="10" xr3:uid="{00000000-0010-0000-0700-00000A000000}" name="Observac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aProtocolosMINSAL" displayName="TablaProtocolosMINSAL" ref="A1:L6">
  <tableColumns count="12">
    <tableColumn id="1" xr3:uid="{00000000-0010-0000-0800-000001000000}" name="Fecha"/>
    <tableColumn id="2" xr3:uid="{00000000-0010-0000-0800-000002000000}" name="Protocolo"/>
    <tableColumn id="3" xr3:uid="{00000000-0010-0000-0800-000003000000}" name="Etapa"/>
    <tableColumn id="4" xr3:uid="{00000000-0010-0000-0800-000004000000}" name="Área"/>
    <tableColumn id="5" xr3:uid="{00000000-0010-0000-0800-000005000000}" name="Actividad"/>
    <tableColumn id="6" xr3:uid="{00000000-0010-0000-0800-000006000000}" name="Expuestos"/>
    <tableColumn id="7" xr3:uid="{00000000-0010-0000-0800-000007000000}" name="Responsable"/>
    <tableColumn id="8" xr3:uid="{00000000-0010-0000-0800-000008000000}" name="Resultado"/>
    <tableColumn id="9" xr3:uid="{00000000-0010-0000-0800-000009000000}" name="Fecha_Compromiso"/>
    <tableColumn id="10" xr3:uid="{00000000-0010-0000-0800-00000A000000}" name="Estado"/>
    <tableColumn id="11" xr3:uid="{00000000-0010-0000-0800-00000B000000}" name="Evidencia"/>
    <tableColumn id="12" xr3:uid="{00000000-0010-0000-0800-00000C000000}" name="Observac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aCertificaciones" displayName="TablaCertificaciones" ref="A1:F11">
  <tableColumns count="6">
    <tableColumn id="1" xr3:uid="{00000000-0010-0000-0900-000001000000}" name="Fecha"/>
    <tableColumn id="2" xr3:uid="{00000000-0010-0000-0900-000002000000}" name="Categoria"/>
    <tableColumn id="3" xr3:uid="{00000000-0010-0000-0900-000003000000}" name="Subcategoria"/>
    <tableColumn id="5" xr3:uid="{00000000-0010-0000-0900-000005000000}" name="Nombre_Certificacion"/>
    <tableColumn id="6" xr3:uid="{00000000-0010-0000-0900-000006000000}" name="Entidad_Emisora"/>
    <tableColumn id="11" xr3:uid="{00000000-0010-0000-0900-00000B000000}" name="Ruta_Link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aConfiguracion" displayName="TablaConfiguracion" ref="A1:B10">
  <tableColumns count="2">
    <tableColumn id="1" xr3:uid="{00000000-0010-0000-0A00-000001000000}" name="Parametro"/>
    <tableColumn id="2" xr3:uid="{00000000-0010-0000-0A00-000002000000}" name="Va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workbookViewId="0">
      <selection sqref="A1:H2"/>
    </sheetView>
  </sheetViews>
  <sheetFormatPr baseColWidth="10" defaultColWidth="8.6640625" defaultRowHeight="14"/>
  <cols>
    <col min="1" max="1" width="32" customWidth="1"/>
    <col min="2" max="2" width="31" customWidth="1"/>
    <col min="3" max="3" width="62" customWidth="1"/>
  </cols>
  <sheetData>
    <row r="1" spans="1:8">
      <c r="A1" s="103" t="s">
        <v>22</v>
      </c>
      <c r="B1" s="104"/>
      <c r="C1" s="104"/>
      <c r="D1" s="104"/>
      <c r="E1" s="104"/>
      <c r="F1" s="104"/>
      <c r="G1" s="104"/>
      <c r="H1" s="104"/>
    </row>
    <row r="2" spans="1:8">
      <c r="A2" s="104"/>
      <c r="B2" s="104"/>
      <c r="C2" s="104"/>
      <c r="D2" s="104"/>
      <c r="E2" s="104"/>
      <c r="F2" s="104"/>
      <c r="G2" s="104"/>
      <c r="H2" s="104"/>
    </row>
    <row r="3" spans="1:8" ht="15.5" customHeight="1">
      <c r="A3" s="105" t="s">
        <v>23</v>
      </c>
      <c r="B3" s="104"/>
      <c r="C3" s="104"/>
      <c r="D3" s="104"/>
      <c r="E3" s="104"/>
      <c r="F3" s="104"/>
      <c r="G3" s="104"/>
      <c r="H3" s="104"/>
    </row>
    <row r="5" spans="1:8" ht="17.75" customHeight="1">
      <c r="A5" s="106" t="s">
        <v>24</v>
      </c>
      <c r="B5" s="104"/>
      <c r="C5" s="104"/>
      <c r="D5" s="104"/>
      <c r="E5" s="104"/>
      <c r="F5" s="104"/>
      <c r="G5" s="104"/>
      <c r="H5" s="104"/>
    </row>
    <row r="7" spans="1:8">
      <c r="A7" s="2" t="s">
        <v>25</v>
      </c>
      <c r="B7" s="2" t="s">
        <v>26</v>
      </c>
      <c r="C7" s="2" t="s">
        <v>27</v>
      </c>
    </row>
    <row r="8" spans="1:8">
      <c r="A8" s="4" t="s">
        <v>28</v>
      </c>
      <c r="B8" s="4" t="s">
        <v>29</v>
      </c>
      <c r="C8" s="4" t="s">
        <v>30</v>
      </c>
    </row>
    <row r="9" spans="1:8">
      <c r="A9" s="4" t="s">
        <v>31</v>
      </c>
      <c r="B9" s="4" t="s">
        <v>32</v>
      </c>
      <c r="C9" s="4" t="s">
        <v>33</v>
      </c>
    </row>
    <row r="10" spans="1:8">
      <c r="A10" s="4" t="s">
        <v>34</v>
      </c>
      <c r="B10" s="4" t="s">
        <v>34</v>
      </c>
      <c r="C10" s="4" t="s">
        <v>35</v>
      </c>
    </row>
    <row r="11" spans="1:8">
      <c r="A11" s="4" t="s">
        <v>36</v>
      </c>
      <c r="B11" s="4" t="s">
        <v>37</v>
      </c>
      <c r="C11" s="4" t="s">
        <v>38</v>
      </c>
    </row>
    <row r="12" spans="1:8">
      <c r="A12" s="4" t="s">
        <v>39</v>
      </c>
      <c r="B12" s="4" t="s">
        <v>40</v>
      </c>
      <c r="C12" s="4" t="s">
        <v>41</v>
      </c>
    </row>
    <row r="13" spans="1:8">
      <c r="A13" s="4" t="s">
        <v>42</v>
      </c>
      <c r="B13" s="4" t="s">
        <v>43</v>
      </c>
      <c r="C13" s="4" t="s">
        <v>44</v>
      </c>
    </row>
    <row r="14" spans="1:8">
      <c r="A14" s="4" t="s">
        <v>45</v>
      </c>
      <c r="B14" s="4" t="s">
        <v>45</v>
      </c>
      <c r="C14" s="4" t="s">
        <v>46</v>
      </c>
    </row>
    <row r="15" spans="1:8">
      <c r="A15" s="4" t="s">
        <v>47</v>
      </c>
      <c r="B15" s="4" t="s">
        <v>47</v>
      </c>
      <c r="C15" s="4" t="s">
        <v>48</v>
      </c>
    </row>
    <row r="16" spans="1:8">
      <c r="A16" s="4" t="s">
        <v>49</v>
      </c>
      <c r="B16" s="4" t="s">
        <v>50</v>
      </c>
      <c r="C16" s="4" t="s">
        <v>51</v>
      </c>
    </row>
    <row r="17" spans="1:3">
      <c r="A17" s="4" t="s">
        <v>52</v>
      </c>
      <c r="B17" s="4" t="s">
        <v>53</v>
      </c>
      <c r="C17" s="4" t="s">
        <v>54</v>
      </c>
    </row>
    <row r="18" spans="1:3">
      <c r="A18" s="4" t="s">
        <v>55</v>
      </c>
      <c r="B18" s="4" t="s">
        <v>55</v>
      </c>
      <c r="C18" s="4" t="s">
        <v>56</v>
      </c>
    </row>
  </sheetData>
  <mergeCells count="3">
    <mergeCell ref="A1:H2"/>
    <mergeCell ref="A3:H3"/>
    <mergeCell ref="A5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0"/>
  <sheetViews>
    <sheetView workbookViewId="0"/>
  </sheetViews>
  <sheetFormatPr baseColWidth="10" defaultColWidth="8.6640625" defaultRowHeight="14"/>
  <cols>
    <col min="1" max="10" width="25" customWidth="1"/>
  </cols>
  <sheetData>
    <row r="1" spans="1:10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52</v>
      </c>
      <c r="I1" s="2" t="s">
        <v>64</v>
      </c>
      <c r="J1" s="2" t="s">
        <v>65</v>
      </c>
    </row>
    <row r="2" spans="1:10">
      <c r="A2" s="16" t="s">
        <v>11</v>
      </c>
      <c r="B2" s="16" t="s">
        <v>66</v>
      </c>
      <c r="C2" s="16" t="s">
        <v>12</v>
      </c>
      <c r="D2" s="16" t="s">
        <v>7</v>
      </c>
      <c r="E2" s="16" t="s">
        <v>67</v>
      </c>
      <c r="F2" s="16" t="s">
        <v>68</v>
      </c>
      <c r="G2" s="16" t="s">
        <v>69</v>
      </c>
      <c r="H2" s="16" t="s">
        <v>70</v>
      </c>
      <c r="I2" s="16" t="s">
        <v>71</v>
      </c>
      <c r="J2" s="16" t="s">
        <v>72</v>
      </c>
    </row>
    <row r="3" spans="1:10">
      <c r="A3" s="16" t="s">
        <v>14</v>
      </c>
      <c r="B3" s="16" t="s">
        <v>73</v>
      </c>
      <c r="C3" s="16" t="s">
        <v>15</v>
      </c>
      <c r="D3" s="16" t="s">
        <v>74</v>
      </c>
      <c r="E3" s="16" t="s">
        <v>75</v>
      </c>
      <c r="F3" s="16" t="s">
        <v>76</v>
      </c>
      <c r="G3" s="16" t="s">
        <v>77</v>
      </c>
      <c r="H3" s="16" t="s">
        <v>78</v>
      </c>
      <c r="I3" s="16" t="s">
        <v>79</v>
      </c>
      <c r="J3" s="16" t="s">
        <v>80</v>
      </c>
    </row>
    <row r="4" spans="1:10">
      <c r="A4" s="16" t="s">
        <v>16</v>
      </c>
      <c r="B4" s="16" t="s">
        <v>13</v>
      </c>
      <c r="C4" s="16" t="s">
        <v>17</v>
      </c>
      <c r="D4" s="16" t="s">
        <v>81</v>
      </c>
      <c r="E4" s="16" t="s">
        <v>82</v>
      </c>
      <c r="F4" s="16" t="s">
        <v>83</v>
      </c>
      <c r="G4" s="16" t="s">
        <v>34</v>
      </c>
      <c r="H4" s="16" t="s">
        <v>84</v>
      </c>
      <c r="I4" s="16" t="s">
        <v>49</v>
      </c>
      <c r="J4" s="16" t="s">
        <v>85</v>
      </c>
    </row>
    <row r="5" spans="1:10">
      <c r="A5" s="16" t="s">
        <v>18</v>
      </c>
      <c r="B5" s="16" t="s">
        <v>86</v>
      </c>
      <c r="C5" s="16" t="s">
        <v>20</v>
      </c>
      <c r="D5" s="16" t="s">
        <v>87</v>
      </c>
      <c r="E5" s="16" t="s">
        <v>88</v>
      </c>
      <c r="F5" s="16"/>
      <c r="G5" s="16" t="s">
        <v>89</v>
      </c>
      <c r="H5" s="16" t="s">
        <v>90</v>
      </c>
      <c r="I5" s="16" t="s">
        <v>91</v>
      </c>
      <c r="J5" s="16" t="s">
        <v>92</v>
      </c>
    </row>
    <row r="6" spans="1:10">
      <c r="A6" s="16" t="s">
        <v>21</v>
      </c>
      <c r="B6" s="16" t="s">
        <v>93</v>
      </c>
      <c r="C6" s="16"/>
      <c r="D6" s="16"/>
      <c r="E6" s="16"/>
      <c r="F6" s="16"/>
      <c r="G6" s="16" t="s">
        <v>49</v>
      </c>
      <c r="H6" s="16" t="s">
        <v>94</v>
      </c>
      <c r="I6" s="16" t="s">
        <v>95</v>
      </c>
      <c r="J6" s="16"/>
    </row>
    <row r="7" spans="1:10">
      <c r="A7" s="16" t="s">
        <v>96</v>
      </c>
      <c r="B7" s="16" t="s">
        <v>97</v>
      </c>
      <c r="C7" s="16"/>
      <c r="D7" s="16"/>
      <c r="E7" s="16"/>
      <c r="F7" s="16"/>
      <c r="G7" s="16"/>
      <c r="H7" s="16" t="s">
        <v>98</v>
      </c>
      <c r="I7" s="16" t="s">
        <v>99</v>
      </c>
      <c r="J7" s="16"/>
    </row>
    <row r="8" spans="1:10">
      <c r="A8" s="16" t="s">
        <v>100</v>
      </c>
      <c r="B8" s="16" t="s">
        <v>101</v>
      </c>
      <c r="C8" s="16"/>
      <c r="D8" s="16"/>
      <c r="E8" s="16"/>
      <c r="F8" s="16"/>
      <c r="G8" s="16"/>
      <c r="H8" s="16" t="s">
        <v>102</v>
      </c>
      <c r="I8" s="16" t="s">
        <v>103</v>
      </c>
      <c r="J8" s="16"/>
    </row>
    <row r="9" spans="1:10">
      <c r="A9" s="16" t="s">
        <v>104</v>
      </c>
      <c r="B9" s="16"/>
      <c r="C9" s="16"/>
      <c r="D9" s="16"/>
      <c r="E9" s="16"/>
      <c r="F9" s="16"/>
      <c r="G9" s="16"/>
      <c r="H9" s="16" t="s">
        <v>105</v>
      </c>
      <c r="I9" s="16"/>
      <c r="J9" s="16"/>
    </row>
    <row r="10" spans="1:10">
      <c r="A10" s="16" t="s">
        <v>106</v>
      </c>
      <c r="B10" s="16"/>
      <c r="C10" s="16"/>
      <c r="D10" s="16"/>
      <c r="E10" s="16"/>
      <c r="F10" s="16"/>
      <c r="G10" s="16"/>
      <c r="H10" s="16"/>
      <c r="I10" s="16"/>
      <c r="J10" s="16"/>
    </row>
    <row r="11" spans="1:10">
      <c r="A11" s="16" t="s">
        <v>107</v>
      </c>
      <c r="B11" s="16"/>
      <c r="C11" s="16"/>
      <c r="D11" s="16"/>
      <c r="E11" s="16"/>
      <c r="F11" s="16"/>
      <c r="G11" s="16"/>
      <c r="H11" s="16"/>
      <c r="I11" s="16"/>
      <c r="J11" s="16"/>
    </row>
    <row r="12" spans="1:10">
      <c r="A12" s="16" t="s">
        <v>108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>
      <c r="A13" s="16"/>
      <c r="B13" s="16"/>
      <c r="C13" s="16"/>
      <c r="D13" s="16"/>
      <c r="E13" s="16"/>
      <c r="F13" s="16"/>
      <c r="G13" s="16"/>
      <c r="H13" s="16"/>
      <c r="I13" s="16"/>
      <c r="J13" s="16"/>
    </row>
    <row r="14" spans="1:10">
      <c r="A14" s="16"/>
      <c r="B14" s="16"/>
      <c r="C14" s="16"/>
      <c r="D14" s="16"/>
      <c r="E14" s="16"/>
      <c r="F14" s="16"/>
      <c r="G14" s="16"/>
      <c r="H14" s="16"/>
      <c r="I14" s="16"/>
      <c r="J14" s="16"/>
    </row>
    <row r="15" spans="1:10">
      <c r="A15" s="16"/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6"/>
      <c r="B16" s="16"/>
      <c r="C16" s="16"/>
      <c r="D16" s="16"/>
      <c r="E16" s="16"/>
      <c r="F16" s="16"/>
      <c r="G16" s="16"/>
      <c r="H16" s="16"/>
      <c r="I16" s="16"/>
      <c r="J16" s="16"/>
    </row>
    <row r="17" spans="1:10">
      <c r="A17" s="16"/>
      <c r="B17" s="16"/>
      <c r="C17" s="16"/>
      <c r="D17" s="16"/>
      <c r="E17" s="16"/>
      <c r="F17" s="16"/>
      <c r="G17" s="16"/>
      <c r="H17" s="16"/>
      <c r="I17" s="16"/>
      <c r="J17" s="16"/>
    </row>
    <row r="18" spans="1:10">
      <c r="A18" s="16"/>
      <c r="B18" s="16"/>
      <c r="C18" s="16"/>
      <c r="D18" s="16"/>
      <c r="E18" s="16"/>
      <c r="F18" s="16"/>
      <c r="G18" s="16"/>
      <c r="H18" s="16"/>
      <c r="I18" s="16"/>
      <c r="J18" s="16"/>
    </row>
    <row r="19" spans="1:10">
      <c r="A19" s="16"/>
      <c r="B19" s="16"/>
      <c r="C19" s="16"/>
      <c r="D19" s="16"/>
      <c r="E19" s="16"/>
      <c r="F19" s="16"/>
      <c r="G19" s="16"/>
      <c r="H19" s="16"/>
      <c r="I19" s="16"/>
      <c r="J19" s="16"/>
    </row>
    <row r="20" spans="1:10">
      <c r="A20" s="16"/>
      <c r="B20" s="16"/>
      <c r="C20" s="16"/>
      <c r="D20" s="16"/>
      <c r="E20" s="16"/>
      <c r="F20" s="16"/>
      <c r="G20" s="16"/>
      <c r="H20" s="16"/>
      <c r="I20" s="16"/>
      <c r="J20" s="16"/>
    </row>
    <row r="21" spans="1:10">
      <c r="A21" s="16"/>
      <c r="B21" s="16"/>
      <c r="C21" s="16"/>
      <c r="D21" s="16"/>
      <c r="E21" s="16"/>
      <c r="F21" s="16"/>
      <c r="G21" s="16"/>
      <c r="H21" s="16"/>
      <c r="I21" s="16"/>
      <c r="J21" s="16"/>
    </row>
    <row r="22" spans="1:10">
      <c r="A22" s="16"/>
      <c r="B22" s="16"/>
      <c r="C22" s="16"/>
      <c r="D22" s="16"/>
      <c r="E22" s="16"/>
      <c r="F22" s="16"/>
      <c r="G22" s="16"/>
      <c r="H22" s="16"/>
      <c r="I22" s="16"/>
      <c r="J22" s="16"/>
    </row>
    <row r="23" spans="1:10">
      <c r="A23" s="16"/>
      <c r="B23" s="16"/>
      <c r="C23" s="16"/>
      <c r="D23" s="16"/>
      <c r="E23" s="16"/>
      <c r="F23" s="16"/>
      <c r="G23" s="16"/>
      <c r="H23" s="16"/>
      <c r="I23" s="16"/>
      <c r="J23" s="16"/>
    </row>
    <row r="24" spans="1:10">
      <c r="A24" s="16"/>
      <c r="B24" s="16"/>
      <c r="C24" s="16"/>
      <c r="D24" s="16"/>
      <c r="E24" s="16"/>
      <c r="F24" s="16"/>
      <c r="G24" s="16"/>
      <c r="H24" s="16"/>
      <c r="I24" s="16"/>
      <c r="J24" s="16"/>
    </row>
    <row r="25" spans="1:10">
      <c r="A25" s="16"/>
      <c r="B25" s="16"/>
      <c r="C25" s="16"/>
      <c r="D25" s="16"/>
      <c r="E25" s="16"/>
      <c r="F25" s="16"/>
      <c r="G25" s="16"/>
      <c r="H25" s="16"/>
      <c r="I25" s="16"/>
      <c r="J25" s="16"/>
    </row>
    <row r="26" spans="1:10">
      <c r="A26" s="16"/>
      <c r="B26" s="16"/>
      <c r="C26" s="16"/>
      <c r="D26" s="16"/>
      <c r="E26" s="16"/>
      <c r="F26" s="16"/>
      <c r="G26" s="16"/>
      <c r="H26" s="16"/>
      <c r="I26" s="16"/>
      <c r="J26" s="16"/>
    </row>
    <row r="27" spans="1:10">
      <c r="A27" s="16"/>
      <c r="B27" s="16"/>
      <c r="C27" s="16"/>
      <c r="D27" s="16"/>
      <c r="E27" s="16"/>
      <c r="F27" s="16"/>
      <c r="G27" s="16"/>
      <c r="H27" s="16"/>
      <c r="I27" s="16"/>
      <c r="J27" s="16"/>
    </row>
    <row r="28" spans="1:10">
      <c r="A28" s="16"/>
      <c r="B28" s="16"/>
      <c r="C28" s="16"/>
      <c r="D28" s="16"/>
      <c r="E28" s="16"/>
      <c r="F28" s="16"/>
      <c r="G28" s="16"/>
      <c r="H28" s="16"/>
      <c r="I28" s="16"/>
      <c r="J28" s="16"/>
    </row>
    <row r="29" spans="1:10">
      <c r="A29" s="16"/>
      <c r="B29" s="16"/>
      <c r="C29" s="16"/>
      <c r="D29" s="16"/>
      <c r="E29" s="16"/>
      <c r="F29" s="16"/>
      <c r="G29" s="16"/>
      <c r="H29" s="16"/>
      <c r="I29" s="16"/>
      <c r="J29" s="16"/>
    </row>
    <row r="30" spans="1:10">
      <c r="A30" s="16"/>
      <c r="B30" s="16"/>
      <c r="C30" s="16"/>
      <c r="D30" s="16"/>
      <c r="E30" s="16"/>
      <c r="F30" s="16"/>
      <c r="G30" s="16"/>
      <c r="H30" s="16"/>
      <c r="I30" s="16"/>
      <c r="J30" s="16"/>
    </row>
    <row r="31" spans="1:10">
      <c r="A31" s="16"/>
      <c r="B31" s="16"/>
      <c r="C31" s="16"/>
      <c r="D31" s="16"/>
      <c r="E31" s="16"/>
      <c r="F31" s="16"/>
      <c r="G31" s="16"/>
      <c r="H31" s="16"/>
      <c r="I31" s="16"/>
      <c r="J31" s="16"/>
    </row>
    <row r="32" spans="1:10">
      <c r="A32" s="16"/>
      <c r="B32" s="16"/>
      <c r="C32" s="16"/>
      <c r="D32" s="16"/>
      <c r="E32" s="16"/>
      <c r="F32" s="16"/>
      <c r="G32" s="16"/>
      <c r="H32" s="16"/>
      <c r="I32" s="16"/>
      <c r="J32" s="16"/>
    </row>
    <row r="33" spans="1:10">
      <c r="A33" s="16"/>
      <c r="B33" s="16"/>
      <c r="C33" s="16"/>
      <c r="D33" s="16"/>
      <c r="E33" s="16"/>
      <c r="F33" s="16"/>
      <c r="G33" s="16"/>
      <c r="H33" s="16"/>
      <c r="I33" s="16"/>
      <c r="J33" s="16"/>
    </row>
    <row r="34" spans="1:10">
      <c r="A34" s="16"/>
      <c r="B34" s="16"/>
      <c r="C34" s="16"/>
      <c r="D34" s="16"/>
      <c r="E34" s="16"/>
      <c r="F34" s="16"/>
      <c r="G34" s="16"/>
      <c r="H34" s="16"/>
      <c r="I34" s="16"/>
      <c r="J34" s="16"/>
    </row>
    <row r="35" spans="1:10">
      <c r="A35" s="16"/>
      <c r="B35" s="16"/>
      <c r="C35" s="16"/>
      <c r="D35" s="16"/>
      <c r="E35" s="16"/>
      <c r="F35" s="16"/>
      <c r="G35" s="16"/>
      <c r="H35" s="16"/>
      <c r="I35" s="16"/>
      <c r="J35" s="16"/>
    </row>
    <row r="36" spans="1:10">
      <c r="A36" s="16"/>
      <c r="B36" s="16"/>
      <c r="C36" s="16"/>
      <c r="D36" s="16"/>
      <c r="E36" s="16"/>
      <c r="F36" s="16"/>
      <c r="G36" s="16"/>
      <c r="H36" s="16"/>
      <c r="I36" s="16"/>
      <c r="J36" s="16"/>
    </row>
    <row r="37" spans="1:10">
      <c r="A37" s="16"/>
      <c r="B37" s="16"/>
      <c r="C37" s="16"/>
      <c r="D37" s="16"/>
      <c r="E37" s="16"/>
      <c r="F37" s="16"/>
      <c r="G37" s="16"/>
      <c r="H37" s="16"/>
      <c r="I37" s="16"/>
      <c r="J37" s="16"/>
    </row>
    <row r="38" spans="1:10">
      <c r="A38" s="16"/>
      <c r="B38" s="16"/>
      <c r="C38" s="16"/>
      <c r="D38" s="16"/>
      <c r="E38" s="16"/>
      <c r="F38" s="16"/>
      <c r="G38" s="16"/>
      <c r="H38" s="16"/>
      <c r="I38" s="16"/>
      <c r="J38" s="16"/>
    </row>
    <row r="39" spans="1:10">
      <c r="A39" s="16"/>
      <c r="B39" s="16"/>
      <c r="C39" s="16"/>
      <c r="D39" s="16"/>
      <c r="E39" s="16"/>
      <c r="F39" s="16"/>
      <c r="G39" s="16"/>
      <c r="H39" s="16"/>
      <c r="I39" s="16"/>
      <c r="J39" s="16"/>
    </row>
    <row r="40" spans="1:10">
      <c r="A40" s="16"/>
      <c r="B40" s="16"/>
      <c r="C40" s="16"/>
      <c r="D40" s="16"/>
      <c r="E40" s="16"/>
      <c r="F40" s="16"/>
      <c r="G40" s="16"/>
      <c r="H40" s="16"/>
      <c r="I40" s="16"/>
      <c r="J40" s="16"/>
    </row>
    <row r="41" spans="1:10">
      <c r="A41" s="16"/>
      <c r="B41" s="16"/>
      <c r="C41" s="16"/>
      <c r="D41" s="16"/>
      <c r="E41" s="16"/>
      <c r="F41" s="16"/>
      <c r="G41" s="16"/>
      <c r="H41" s="16"/>
      <c r="I41" s="16"/>
      <c r="J41" s="16"/>
    </row>
    <row r="42" spans="1:10">
      <c r="A42" s="16"/>
      <c r="B42" s="16"/>
      <c r="C42" s="16"/>
      <c r="D42" s="16"/>
      <c r="E42" s="16"/>
      <c r="F42" s="16"/>
      <c r="G42" s="16"/>
      <c r="H42" s="16"/>
      <c r="I42" s="16"/>
      <c r="J42" s="16"/>
    </row>
    <row r="43" spans="1:10">
      <c r="A43" s="16"/>
      <c r="B43" s="16"/>
      <c r="C43" s="16"/>
      <c r="D43" s="16"/>
      <c r="E43" s="16"/>
      <c r="F43" s="16"/>
      <c r="G43" s="16"/>
      <c r="H43" s="16"/>
      <c r="I43" s="16"/>
      <c r="J43" s="16"/>
    </row>
    <row r="44" spans="1:10">
      <c r="A44" s="16"/>
      <c r="B44" s="16"/>
      <c r="C44" s="16"/>
      <c r="D44" s="16"/>
      <c r="E44" s="16"/>
      <c r="F44" s="16"/>
      <c r="G44" s="16"/>
      <c r="H44" s="16"/>
      <c r="I44" s="16"/>
      <c r="J44" s="16"/>
    </row>
    <row r="45" spans="1:10">
      <c r="A45" s="16"/>
      <c r="B45" s="16"/>
      <c r="C45" s="16"/>
      <c r="D45" s="16"/>
      <c r="E45" s="16"/>
      <c r="F45" s="16"/>
      <c r="G45" s="16"/>
      <c r="H45" s="16"/>
      <c r="I45" s="16"/>
      <c r="J45" s="16"/>
    </row>
    <row r="46" spans="1:10">
      <c r="A46" s="16"/>
      <c r="B46" s="16"/>
      <c r="C46" s="16"/>
      <c r="D46" s="16"/>
      <c r="E46" s="16"/>
      <c r="F46" s="16"/>
      <c r="G46" s="16"/>
      <c r="H46" s="16"/>
      <c r="I46" s="16"/>
      <c r="J46" s="16"/>
    </row>
    <row r="47" spans="1:10">
      <c r="A47" s="16"/>
      <c r="B47" s="16"/>
      <c r="C47" s="16"/>
      <c r="D47" s="16"/>
      <c r="E47" s="16"/>
      <c r="F47" s="16"/>
      <c r="G47" s="16"/>
      <c r="H47" s="16"/>
      <c r="I47" s="16"/>
      <c r="J47" s="16"/>
    </row>
    <row r="48" spans="1:10">
      <c r="A48" s="16"/>
      <c r="B48" s="16"/>
      <c r="C48" s="16"/>
      <c r="D48" s="16"/>
      <c r="E48" s="16"/>
      <c r="F48" s="16"/>
      <c r="G48" s="16"/>
      <c r="H48" s="16"/>
      <c r="I48" s="16"/>
      <c r="J48" s="16"/>
    </row>
    <row r="49" spans="1:10">
      <c r="A49" s="16"/>
      <c r="B49" s="16"/>
      <c r="C49" s="16"/>
      <c r="D49" s="16"/>
      <c r="E49" s="16"/>
      <c r="F49" s="16"/>
      <c r="G49" s="16"/>
      <c r="H49" s="16"/>
      <c r="I49" s="16"/>
      <c r="J49" s="16"/>
    </row>
    <row r="50" spans="1:10">
      <c r="A50" s="16"/>
      <c r="B50" s="16"/>
      <c r="C50" s="16"/>
      <c r="D50" s="16"/>
      <c r="E50" s="16"/>
      <c r="F50" s="16"/>
      <c r="G50" s="16"/>
      <c r="H50" s="16"/>
      <c r="I50" s="16"/>
      <c r="J50" s="16"/>
    </row>
    <row r="51" spans="1:10">
      <c r="A51" s="16"/>
      <c r="B51" s="16"/>
      <c r="C51" s="16"/>
      <c r="D51" s="16"/>
      <c r="E51" s="16"/>
      <c r="F51" s="16"/>
      <c r="G51" s="16"/>
      <c r="H51" s="16"/>
      <c r="I51" s="16"/>
      <c r="J51" s="16"/>
    </row>
    <row r="52" spans="1:10">
      <c r="A52" s="16"/>
      <c r="B52" s="16"/>
      <c r="C52" s="16"/>
      <c r="D52" s="16"/>
      <c r="E52" s="16"/>
      <c r="F52" s="16"/>
      <c r="G52" s="16"/>
      <c r="H52" s="16"/>
      <c r="I52" s="16"/>
      <c r="J52" s="16"/>
    </row>
    <row r="53" spans="1:10">
      <c r="A53" s="16"/>
      <c r="B53" s="16"/>
      <c r="C53" s="16"/>
      <c r="D53" s="16"/>
      <c r="E53" s="16"/>
      <c r="F53" s="16"/>
      <c r="G53" s="16"/>
      <c r="H53" s="16"/>
      <c r="I53" s="16"/>
      <c r="J53" s="16"/>
    </row>
    <row r="54" spans="1:10">
      <c r="A54" s="16"/>
      <c r="B54" s="16"/>
      <c r="C54" s="16"/>
      <c r="D54" s="16"/>
      <c r="E54" s="16"/>
      <c r="F54" s="16"/>
      <c r="G54" s="16"/>
      <c r="H54" s="16"/>
      <c r="I54" s="16"/>
      <c r="J54" s="16"/>
    </row>
    <row r="55" spans="1:10">
      <c r="A55" s="16"/>
      <c r="B55" s="16"/>
      <c r="C55" s="16"/>
      <c r="D55" s="16"/>
      <c r="E55" s="16"/>
      <c r="F55" s="16"/>
      <c r="G55" s="16"/>
      <c r="H55" s="16"/>
      <c r="I55" s="16"/>
      <c r="J55" s="16"/>
    </row>
    <row r="56" spans="1:10">
      <c r="A56" s="16"/>
      <c r="B56" s="16"/>
      <c r="C56" s="16"/>
      <c r="D56" s="16"/>
      <c r="E56" s="16"/>
      <c r="F56" s="16"/>
      <c r="G56" s="16"/>
      <c r="H56" s="16"/>
      <c r="I56" s="16"/>
      <c r="J56" s="16"/>
    </row>
    <row r="57" spans="1:10">
      <c r="A57" s="16"/>
      <c r="B57" s="16"/>
      <c r="C57" s="16"/>
      <c r="D57" s="16"/>
      <c r="E57" s="16"/>
      <c r="F57" s="16"/>
      <c r="G57" s="16"/>
      <c r="H57" s="16"/>
      <c r="I57" s="16"/>
      <c r="J57" s="16"/>
    </row>
    <row r="58" spans="1:10">
      <c r="A58" s="16"/>
      <c r="B58" s="16"/>
      <c r="C58" s="16"/>
      <c r="D58" s="16"/>
      <c r="E58" s="16"/>
      <c r="F58" s="16"/>
      <c r="G58" s="16"/>
      <c r="H58" s="16"/>
      <c r="I58" s="16"/>
      <c r="J58" s="16"/>
    </row>
    <row r="59" spans="1:10">
      <c r="A59" s="16"/>
      <c r="B59" s="16"/>
      <c r="C59" s="16"/>
      <c r="D59" s="16"/>
      <c r="E59" s="16"/>
      <c r="F59" s="16"/>
      <c r="G59" s="16"/>
      <c r="H59" s="16"/>
      <c r="I59" s="16"/>
      <c r="J59" s="16"/>
    </row>
    <row r="60" spans="1:10">
      <c r="A60" s="16"/>
      <c r="B60" s="16"/>
      <c r="C60" s="16"/>
      <c r="D60" s="16"/>
      <c r="E60" s="16"/>
      <c r="F60" s="16"/>
      <c r="G60" s="16"/>
      <c r="H60" s="16"/>
      <c r="I60" s="16"/>
      <c r="J60" s="16"/>
    </row>
    <row r="61" spans="1:10">
      <c r="A61" s="16"/>
      <c r="B61" s="16"/>
      <c r="C61" s="16"/>
      <c r="D61" s="16"/>
      <c r="E61" s="16"/>
      <c r="F61" s="16"/>
      <c r="G61" s="16"/>
      <c r="H61" s="16"/>
      <c r="I61" s="16"/>
      <c r="J61" s="16"/>
    </row>
    <row r="62" spans="1:10">
      <c r="A62" s="16"/>
      <c r="B62" s="16"/>
      <c r="C62" s="16"/>
      <c r="D62" s="16"/>
      <c r="E62" s="16"/>
      <c r="F62" s="16"/>
      <c r="G62" s="16"/>
      <c r="H62" s="16"/>
      <c r="I62" s="16"/>
      <c r="J62" s="16"/>
    </row>
    <row r="63" spans="1:10">
      <c r="A63" s="16"/>
      <c r="B63" s="16"/>
      <c r="C63" s="16"/>
      <c r="D63" s="16"/>
      <c r="E63" s="16"/>
      <c r="F63" s="16"/>
      <c r="G63" s="16"/>
      <c r="H63" s="16"/>
      <c r="I63" s="16"/>
      <c r="J63" s="16"/>
    </row>
    <row r="64" spans="1:10">
      <c r="A64" s="16"/>
      <c r="B64" s="16"/>
      <c r="C64" s="16"/>
      <c r="D64" s="16"/>
      <c r="E64" s="16"/>
      <c r="F64" s="16"/>
      <c r="G64" s="16"/>
      <c r="H64" s="16"/>
      <c r="I64" s="16"/>
      <c r="J64" s="16"/>
    </row>
    <row r="65" spans="1:10">
      <c r="A65" s="16"/>
      <c r="B65" s="16"/>
      <c r="C65" s="16"/>
      <c r="D65" s="16"/>
      <c r="E65" s="16"/>
      <c r="F65" s="16"/>
      <c r="G65" s="16"/>
      <c r="H65" s="16"/>
      <c r="I65" s="16"/>
      <c r="J65" s="16"/>
    </row>
    <row r="66" spans="1:10">
      <c r="A66" s="16"/>
      <c r="B66" s="16"/>
      <c r="C66" s="16"/>
      <c r="D66" s="16"/>
      <c r="E66" s="16"/>
      <c r="F66" s="16"/>
      <c r="G66" s="16"/>
      <c r="H66" s="16"/>
      <c r="I66" s="16"/>
      <c r="J66" s="16"/>
    </row>
    <row r="67" spans="1:10">
      <c r="A67" s="16"/>
      <c r="B67" s="16"/>
      <c r="C67" s="16"/>
      <c r="D67" s="16"/>
      <c r="E67" s="16"/>
      <c r="F67" s="16"/>
      <c r="G67" s="16"/>
      <c r="H67" s="16"/>
      <c r="I67" s="16"/>
      <c r="J67" s="16"/>
    </row>
    <row r="68" spans="1:10">
      <c r="A68" s="16"/>
      <c r="B68" s="16"/>
      <c r="C68" s="16"/>
      <c r="D68" s="16"/>
      <c r="E68" s="16"/>
      <c r="F68" s="16"/>
      <c r="G68" s="16"/>
      <c r="H68" s="16"/>
      <c r="I68" s="16"/>
      <c r="J68" s="16"/>
    </row>
    <row r="69" spans="1:10">
      <c r="A69" s="16"/>
      <c r="B69" s="16"/>
      <c r="C69" s="16"/>
      <c r="D69" s="16"/>
      <c r="E69" s="16"/>
      <c r="F69" s="16"/>
      <c r="G69" s="16"/>
      <c r="H69" s="16"/>
      <c r="I69" s="16"/>
      <c r="J69" s="16"/>
    </row>
    <row r="70" spans="1:10">
      <c r="A70" s="16"/>
      <c r="B70" s="16"/>
      <c r="C70" s="16"/>
      <c r="D70" s="16"/>
      <c r="E70" s="16"/>
      <c r="F70" s="16"/>
      <c r="G70" s="16"/>
      <c r="H70" s="16"/>
      <c r="I70" s="16"/>
      <c r="J70" s="16"/>
    </row>
    <row r="71" spans="1:10">
      <c r="A71" s="16"/>
      <c r="B71" s="16"/>
      <c r="C71" s="16"/>
      <c r="D71" s="16"/>
      <c r="E71" s="16"/>
      <c r="F71" s="16"/>
      <c r="G71" s="16"/>
      <c r="H71" s="16"/>
      <c r="I71" s="16"/>
      <c r="J71" s="16"/>
    </row>
    <row r="72" spans="1:10">
      <c r="A72" s="16"/>
      <c r="B72" s="16"/>
      <c r="C72" s="16"/>
      <c r="D72" s="16"/>
      <c r="E72" s="16"/>
      <c r="F72" s="16"/>
      <c r="G72" s="16"/>
      <c r="H72" s="16"/>
      <c r="I72" s="16"/>
      <c r="J72" s="16"/>
    </row>
    <row r="73" spans="1:10">
      <c r="A73" s="16"/>
      <c r="B73" s="16"/>
      <c r="C73" s="16"/>
      <c r="D73" s="16"/>
      <c r="E73" s="16"/>
      <c r="F73" s="16"/>
      <c r="G73" s="16"/>
      <c r="H73" s="16"/>
      <c r="I73" s="16"/>
      <c r="J73" s="16"/>
    </row>
    <row r="74" spans="1:10">
      <c r="A74" s="16"/>
      <c r="B74" s="16"/>
      <c r="C74" s="16"/>
      <c r="D74" s="16"/>
      <c r="E74" s="16"/>
      <c r="F74" s="16"/>
      <c r="G74" s="16"/>
      <c r="H74" s="16"/>
      <c r="I74" s="16"/>
      <c r="J74" s="16"/>
    </row>
    <row r="75" spans="1:10">
      <c r="A75" s="16"/>
      <c r="B75" s="16"/>
      <c r="C75" s="16"/>
      <c r="D75" s="16"/>
      <c r="E75" s="16"/>
      <c r="F75" s="16"/>
      <c r="G75" s="16"/>
      <c r="H75" s="16"/>
      <c r="I75" s="16"/>
      <c r="J75" s="16"/>
    </row>
    <row r="76" spans="1:10">
      <c r="A76" s="16"/>
      <c r="B76" s="16"/>
      <c r="C76" s="16"/>
      <c r="D76" s="16"/>
      <c r="E76" s="16"/>
      <c r="F76" s="16"/>
      <c r="G76" s="16"/>
      <c r="H76" s="16"/>
      <c r="I76" s="16"/>
      <c r="J76" s="16"/>
    </row>
    <row r="77" spans="1:10">
      <c r="A77" s="16"/>
      <c r="B77" s="16"/>
      <c r="C77" s="16"/>
      <c r="D77" s="16"/>
      <c r="E77" s="16"/>
      <c r="F77" s="16"/>
      <c r="G77" s="16"/>
      <c r="H77" s="16"/>
      <c r="I77" s="16"/>
      <c r="J77" s="16"/>
    </row>
    <row r="78" spans="1:10">
      <c r="A78" s="16"/>
      <c r="B78" s="16"/>
      <c r="C78" s="16"/>
      <c r="D78" s="16"/>
      <c r="E78" s="16"/>
      <c r="F78" s="16"/>
      <c r="G78" s="16"/>
      <c r="H78" s="16"/>
      <c r="I78" s="16"/>
      <c r="J78" s="16"/>
    </row>
    <row r="79" spans="1:10">
      <c r="A79" s="16"/>
      <c r="B79" s="16"/>
      <c r="C79" s="16"/>
      <c r="D79" s="16"/>
      <c r="E79" s="16"/>
      <c r="F79" s="16"/>
      <c r="G79" s="16"/>
      <c r="H79" s="16"/>
      <c r="I79" s="16"/>
      <c r="J79" s="16"/>
    </row>
    <row r="80" spans="1:10">
      <c r="A80" s="16"/>
      <c r="B80" s="16"/>
      <c r="C80" s="16"/>
      <c r="D80" s="16"/>
      <c r="E80" s="16"/>
      <c r="F80" s="16"/>
      <c r="G80" s="16"/>
      <c r="H80" s="16"/>
      <c r="I80" s="16"/>
      <c r="J80" s="16"/>
    </row>
    <row r="81" spans="1:10">
      <c r="A81" s="16"/>
      <c r="B81" s="16"/>
      <c r="C81" s="16"/>
      <c r="D81" s="16"/>
      <c r="E81" s="16"/>
      <c r="F81" s="16"/>
      <c r="G81" s="16"/>
      <c r="H81" s="16"/>
      <c r="I81" s="16"/>
      <c r="J81" s="16"/>
    </row>
    <row r="82" spans="1:10">
      <c r="A82" s="16"/>
      <c r="B82" s="16"/>
      <c r="C82" s="16"/>
      <c r="D82" s="16"/>
      <c r="E82" s="16"/>
      <c r="F82" s="16"/>
      <c r="G82" s="16"/>
      <c r="H82" s="16"/>
      <c r="I82" s="16"/>
      <c r="J82" s="16"/>
    </row>
    <row r="83" spans="1:10">
      <c r="A83" s="16"/>
      <c r="B83" s="16"/>
      <c r="C83" s="16"/>
      <c r="D83" s="16"/>
      <c r="E83" s="16"/>
      <c r="F83" s="16"/>
      <c r="G83" s="16"/>
      <c r="H83" s="16"/>
      <c r="I83" s="16"/>
      <c r="J83" s="16"/>
    </row>
    <row r="84" spans="1:10">
      <c r="A84" s="16"/>
      <c r="B84" s="16"/>
      <c r="C84" s="16"/>
      <c r="D84" s="16"/>
      <c r="E84" s="16"/>
      <c r="F84" s="16"/>
      <c r="G84" s="16"/>
      <c r="H84" s="16"/>
      <c r="I84" s="16"/>
      <c r="J84" s="16"/>
    </row>
    <row r="85" spans="1:10">
      <c r="A85" s="16"/>
      <c r="B85" s="16"/>
      <c r="C85" s="16"/>
      <c r="D85" s="16"/>
      <c r="E85" s="16"/>
      <c r="F85" s="16"/>
      <c r="G85" s="16"/>
      <c r="H85" s="16"/>
      <c r="I85" s="16"/>
      <c r="J85" s="16"/>
    </row>
    <row r="86" spans="1:10">
      <c r="A86" s="16"/>
      <c r="B86" s="16"/>
      <c r="C86" s="16"/>
      <c r="D86" s="16"/>
      <c r="E86" s="16"/>
      <c r="F86" s="16"/>
      <c r="G86" s="16"/>
      <c r="H86" s="16"/>
      <c r="I86" s="16"/>
      <c r="J86" s="16"/>
    </row>
    <row r="87" spans="1:10">
      <c r="A87" s="16"/>
      <c r="B87" s="16"/>
      <c r="C87" s="16"/>
      <c r="D87" s="16"/>
      <c r="E87" s="16"/>
      <c r="F87" s="16"/>
      <c r="G87" s="16"/>
      <c r="H87" s="16"/>
      <c r="I87" s="16"/>
      <c r="J87" s="16"/>
    </row>
    <row r="88" spans="1:10">
      <c r="A88" s="16"/>
      <c r="B88" s="16"/>
      <c r="C88" s="16"/>
      <c r="D88" s="16"/>
      <c r="E88" s="16"/>
      <c r="F88" s="16"/>
      <c r="G88" s="16"/>
      <c r="H88" s="16"/>
      <c r="I88" s="16"/>
      <c r="J88" s="16"/>
    </row>
    <row r="89" spans="1:10">
      <c r="A89" s="16"/>
      <c r="B89" s="16"/>
      <c r="C89" s="16"/>
      <c r="D89" s="16"/>
      <c r="E89" s="16"/>
      <c r="F89" s="16"/>
      <c r="G89" s="16"/>
      <c r="H89" s="16"/>
      <c r="I89" s="16"/>
      <c r="J89" s="16"/>
    </row>
    <row r="90" spans="1:10">
      <c r="A90" s="16"/>
      <c r="B90" s="16"/>
      <c r="C90" s="16"/>
      <c r="D90" s="16"/>
      <c r="E90" s="16"/>
      <c r="F90" s="16"/>
      <c r="G90" s="16"/>
      <c r="H90" s="16"/>
      <c r="I90" s="16"/>
      <c r="J90" s="16"/>
    </row>
    <row r="91" spans="1:10">
      <c r="A91" s="16"/>
      <c r="B91" s="16"/>
      <c r="C91" s="16"/>
      <c r="D91" s="16"/>
      <c r="E91" s="16"/>
      <c r="F91" s="16"/>
      <c r="G91" s="16"/>
      <c r="H91" s="16"/>
      <c r="I91" s="16"/>
      <c r="J91" s="16"/>
    </row>
    <row r="92" spans="1:10">
      <c r="A92" s="16"/>
      <c r="B92" s="16"/>
      <c r="C92" s="16"/>
      <c r="D92" s="16"/>
      <c r="E92" s="16"/>
      <c r="F92" s="16"/>
      <c r="G92" s="16"/>
      <c r="H92" s="16"/>
      <c r="I92" s="16"/>
      <c r="J92" s="16"/>
    </row>
    <row r="93" spans="1:10">
      <c r="A93" s="16"/>
      <c r="B93" s="16"/>
      <c r="C93" s="16"/>
      <c r="D93" s="16"/>
      <c r="E93" s="16"/>
      <c r="F93" s="16"/>
      <c r="G93" s="16"/>
      <c r="H93" s="16"/>
      <c r="I93" s="16"/>
      <c r="J93" s="16"/>
    </row>
    <row r="94" spans="1:10">
      <c r="A94" s="16"/>
      <c r="B94" s="16"/>
      <c r="C94" s="16"/>
      <c r="D94" s="16"/>
      <c r="E94" s="16"/>
      <c r="F94" s="16"/>
      <c r="G94" s="16"/>
      <c r="H94" s="16"/>
      <c r="I94" s="16"/>
      <c r="J94" s="16"/>
    </row>
    <row r="95" spans="1:10">
      <c r="A95" s="16"/>
      <c r="B95" s="16"/>
      <c r="C95" s="16"/>
      <c r="D95" s="16"/>
      <c r="E95" s="16"/>
      <c r="F95" s="16"/>
      <c r="G95" s="16"/>
      <c r="H95" s="16"/>
      <c r="I95" s="16"/>
      <c r="J95" s="16"/>
    </row>
    <row r="96" spans="1:10">
      <c r="A96" s="16"/>
      <c r="B96" s="16"/>
      <c r="C96" s="16"/>
      <c r="D96" s="16"/>
      <c r="E96" s="16"/>
      <c r="F96" s="16"/>
      <c r="G96" s="16"/>
      <c r="H96" s="16"/>
      <c r="I96" s="16"/>
      <c r="J96" s="16"/>
    </row>
    <row r="97" spans="1:10">
      <c r="A97" s="16"/>
      <c r="B97" s="16"/>
      <c r="C97" s="16"/>
      <c r="D97" s="16"/>
      <c r="E97" s="16"/>
      <c r="F97" s="16"/>
      <c r="G97" s="16"/>
      <c r="H97" s="16"/>
      <c r="I97" s="16"/>
      <c r="J97" s="16"/>
    </row>
    <row r="98" spans="1:10">
      <c r="A98" s="16"/>
      <c r="B98" s="16"/>
      <c r="C98" s="16"/>
      <c r="D98" s="16"/>
      <c r="E98" s="16"/>
      <c r="F98" s="16"/>
      <c r="G98" s="16"/>
      <c r="H98" s="16"/>
      <c r="I98" s="16"/>
      <c r="J98" s="16"/>
    </row>
    <row r="99" spans="1:10">
      <c r="A99" s="16"/>
      <c r="B99" s="16"/>
      <c r="C99" s="16"/>
      <c r="D99" s="16"/>
      <c r="E99" s="16"/>
      <c r="F99" s="16"/>
      <c r="G99" s="16"/>
      <c r="H99" s="16"/>
      <c r="I99" s="16"/>
      <c r="J99" s="16"/>
    </row>
    <row r="100" spans="1:10">
      <c r="A100" s="16"/>
      <c r="B100" s="16"/>
      <c r="C100" s="16"/>
      <c r="D100" s="16"/>
      <c r="E100" s="16"/>
      <c r="F100" s="16"/>
      <c r="G100" s="16"/>
      <c r="H100" s="16"/>
      <c r="I100" s="16"/>
      <c r="J100" s="16"/>
    </row>
    <row r="101" spans="1:10">
      <c r="A101" s="16"/>
      <c r="B101" s="16"/>
      <c r="C101" s="16"/>
      <c r="D101" s="16"/>
      <c r="E101" s="16"/>
      <c r="F101" s="16"/>
      <c r="G101" s="16"/>
      <c r="H101" s="16"/>
      <c r="I101" s="16"/>
      <c r="J101" s="16"/>
    </row>
    <row r="102" spans="1:10">
      <c r="A102" s="16"/>
      <c r="B102" s="16"/>
      <c r="C102" s="16"/>
      <c r="D102" s="16"/>
      <c r="E102" s="16"/>
      <c r="F102" s="16"/>
      <c r="G102" s="16"/>
      <c r="H102" s="16"/>
      <c r="I102" s="16"/>
      <c r="J102" s="16"/>
    </row>
    <row r="103" spans="1:10">
      <c r="A103" s="16"/>
      <c r="B103" s="16"/>
      <c r="C103" s="16"/>
      <c r="D103" s="16"/>
      <c r="E103" s="16"/>
      <c r="F103" s="16"/>
      <c r="G103" s="16"/>
      <c r="H103" s="16"/>
      <c r="I103" s="16"/>
      <c r="J103" s="16"/>
    </row>
    <row r="104" spans="1:10">
      <c r="A104" s="16"/>
      <c r="B104" s="16"/>
      <c r="C104" s="16"/>
      <c r="D104" s="16"/>
      <c r="E104" s="16"/>
      <c r="F104" s="16"/>
      <c r="G104" s="16"/>
      <c r="H104" s="16"/>
      <c r="I104" s="16"/>
      <c r="J104" s="16"/>
    </row>
    <row r="105" spans="1:10">
      <c r="A105" s="16"/>
      <c r="B105" s="16"/>
      <c r="C105" s="16"/>
      <c r="D105" s="16"/>
      <c r="E105" s="16"/>
      <c r="F105" s="16"/>
      <c r="G105" s="16"/>
      <c r="H105" s="16"/>
      <c r="I105" s="16"/>
      <c r="J105" s="16"/>
    </row>
    <row r="106" spans="1:10">
      <c r="A106" s="16"/>
      <c r="B106" s="16"/>
      <c r="C106" s="16"/>
      <c r="D106" s="16"/>
      <c r="E106" s="16"/>
      <c r="F106" s="16"/>
      <c r="G106" s="16"/>
      <c r="H106" s="16"/>
      <c r="I106" s="16"/>
      <c r="J106" s="16"/>
    </row>
    <row r="107" spans="1:10">
      <c r="A107" s="16"/>
      <c r="B107" s="16"/>
      <c r="C107" s="16"/>
      <c r="D107" s="16"/>
      <c r="E107" s="16"/>
      <c r="F107" s="16"/>
      <c r="G107" s="16"/>
      <c r="H107" s="16"/>
      <c r="I107" s="16"/>
      <c r="J107" s="16"/>
    </row>
    <row r="108" spans="1:10">
      <c r="A108" s="16"/>
      <c r="B108" s="16"/>
      <c r="C108" s="16"/>
      <c r="D108" s="16"/>
      <c r="E108" s="16"/>
      <c r="F108" s="16"/>
      <c r="G108" s="16"/>
      <c r="H108" s="16"/>
      <c r="I108" s="16"/>
      <c r="J108" s="16"/>
    </row>
    <row r="109" spans="1:10">
      <c r="A109" s="16"/>
      <c r="B109" s="16"/>
      <c r="C109" s="16"/>
      <c r="D109" s="16"/>
      <c r="E109" s="16"/>
      <c r="F109" s="16"/>
      <c r="G109" s="16"/>
      <c r="H109" s="16"/>
      <c r="I109" s="16"/>
      <c r="J109" s="16"/>
    </row>
    <row r="110" spans="1:10">
      <c r="A110" s="16"/>
      <c r="B110" s="16"/>
      <c r="C110" s="16"/>
      <c r="D110" s="16"/>
      <c r="E110" s="16"/>
      <c r="F110" s="16"/>
      <c r="G110" s="16"/>
      <c r="H110" s="16"/>
      <c r="I110" s="16"/>
      <c r="J110" s="16"/>
    </row>
    <row r="111" spans="1:10">
      <c r="A111" s="16"/>
      <c r="B111" s="16"/>
      <c r="C111" s="16"/>
      <c r="D111" s="16"/>
      <c r="E111" s="16"/>
      <c r="F111" s="16"/>
      <c r="G111" s="16"/>
      <c r="H111" s="16"/>
      <c r="I111" s="16"/>
      <c r="J111" s="16"/>
    </row>
    <row r="112" spans="1:10">
      <c r="A112" s="16"/>
      <c r="B112" s="16"/>
      <c r="C112" s="16"/>
      <c r="D112" s="16"/>
      <c r="E112" s="16"/>
      <c r="F112" s="16"/>
      <c r="G112" s="16"/>
      <c r="H112" s="16"/>
      <c r="I112" s="16"/>
      <c r="J112" s="16"/>
    </row>
    <row r="113" spans="1:10">
      <c r="A113" s="16"/>
      <c r="B113" s="16"/>
      <c r="C113" s="16"/>
      <c r="D113" s="16"/>
      <c r="E113" s="16"/>
      <c r="F113" s="16"/>
      <c r="G113" s="16"/>
      <c r="H113" s="16"/>
      <c r="I113" s="16"/>
      <c r="J113" s="16"/>
    </row>
    <row r="114" spans="1:10">
      <c r="A114" s="16"/>
      <c r="B114" s="16"/>
      <c r="C114" s="16"/>
      <c r="D114" s="16"/>
      <c r="E114" s="16"/>
      <c r="F114" s="16"/>
      <c r="G114" s="16"/>
      <c r="H114" s="16"/>
      <c r="I114" s="16"/>
      <c r="J114" s="16"/>
    </row>
    <row r="115" spans="1:10">
      <c r="A115" s="16"/>
      <c r="B115" s="16"/>
      <c r="C115" s="16"/>
      <c r="D115" s="16"/>
      <c r="E115" s="16"/>
      <c r="F115" s="16"/>
      <c r="G115" s="16"/>
      <c r="H115" s="16"/>
      <c r="I115" s="16"/>
      <c r="J115" s="16"/>
    </row>
    <row r="116" spans="1:10">
      <c r="A116" s="16"/>
      <c r="B116" s="16"/>
      <c r="C116" s="16"/>
      <c r="D116" s="16"/>
      <c r="E116" s="16"/>
      <c r="F116" s="16"/>
      <c r="G116" s="16"/>
      <c r="H116" s="16"/>
      <c r="I116" s="16"/>
      <c r="J116" s="16"/>
    </row>
    <row r="117" spans="1:10">
      <c r="A117" s="16"/>
      <c r="B117" s="16"/>
      <c r="C117" s="16"/>
      <c r="D117" s="16"/>
      <c r="E117" s="16"/>
      <c r="F117" s="16"/>
      <c r="G117" s="16"/>
      <c r="H117" s="16"/>
      <c r="I117" s="16"/>
      <c r="J117" s="16"/>
    </row>
    <row r="118" spans="1:10">
      <c r="A118" s="16"/>
      <c r="B118" s="16"/>
      <c r="C118" s="16"/>
      <c r="D118" s="16"/>
      <c r="E118" s="16"/>
      <c r="F118" s="16"/>
      <c r="G118" s="16"/>
      <c r="H118" s="16"/>
      <c r="I118" s="16"/>
      <c r="J118" s="16"/>
    </row>
    <row r="119" spans="1:10">
      <c r="A119" s="16"/>
      <c r="B119" s="16"/>
      <c r="C119" s="16"/>
      <c r="D119" s="16"/>
      <c r="E119" s="16"/>
      <c r="F119" s="16"/>
      <c r="G119" s="16"/>
      <c r="H119" s="16"/>
      <c r="I119" s="16"/>
      <c r="J119" s="16"/>
    </row>
    <row r="120" spans="1:10">
      <c r="A120" s="16"/>
      <c r="B120" s="16"/>
      <c r="C120" s="16"/>
      <c r="D120" s="16"/>
      <c r="E120" s="16"/>
      <c r="F120" s="16"/>
      <c r="G120" s="16"/>
      <c r="H120" s="16"/>
      <c r="I120" s="16"/>
      <c r="J120" s="16"/>
    </row>
    <row r="121" spans="1:10">
      <c r="A121" s="16"/>
      <c r="B121" s="16"/>
      <c r="C121" s="16"/>
      <c r="D121" s="16"/>
      <c r="E121" s="16"/>
      <c r="F121" s="16"/>
      <c r="G121" s="16"/>
      <c r="H121" s="16"/>
      <c r="I121" s="16"/>
      <c r="J121" s="16"/>
    </row>
    <row r="122" spans="1:10">
      <c r="A122" s="16"/>
      <c r="B122" s="16"/>
      <c r="C122" s="16"/>
      <c r="D122" s="16"/>
      <c r="E122" s="16"/>
      <c r="F122" s="16"/>
      <c r="G122" s="16"/>
      <c r="H122" s="16"/>
      <c r="I122" s="16"/>
      <c r="J122" s="16"/>
    </row>
    <row r="123" spans="1:10">
      <c r="A123" s="16"/>
      <c r="B123" s="16"/>
      <c r="C123" s="16"/>
      <c r="D123" s="16"/>
      <c r="E123" s="16"/>
      <c r="F123" s="16"/>
      <c r="G123" s="16"/>
      <c r="H123" s="16"/>
      <c r="I123" s="16"/>
      <c r="J123" s="16"/>
    </row>
    <row r="124" spans="1:10">
      <c r="A124" s="16"/>
      <c r="B124" s="16"/>
      <c r="C124" s="16"/>
      <c r="D124" s="16"/>
      <c r="E124" s="16"/>
      <c r="F124" s="16"/>
      <c r="G124" s="16"/>
      <c r="H124" s="16"/>
      <c r="I124" s="16"/>
      <c r="J124" s="16"/>
    </row>
    <row r="125" spans="1:10">
      <c r="A125" s="16"/>
      <c r="B125" s="16"/>
      <c r="C125" s="16"/>
      <c r="D125" s="16"/>
      <c r="E125" s="16"/>
      <c r="F125" s="16"/>
      <c r="G125" s="16"/>
      <c r="H125" s="16"/>
      <c r="I125" s="16"/>
      <c r="J125" s="16"/>
    </row>
    <row r="126" spans="1:10">
      <c r="A126" s="16"/>
      <c r="B126" s="16"/>
      <c r="C126" s="16"/>
      <c r="D126" s="16"/>
      <c r="E126" s="16"/>
      <c r="F126" s="16"/>
      <c r="G126" s="16"/>
      <c r="H126" s="16"/>
      <c r="I126" s="16"/>
      <c r="J126" s="16"/>
    </row>
    <row r="127" spans="1:10">
      <c r="A127" s="16"/>
      <c r="B127" s="16"/>
      <c r="C127" s="16"/>
      <c r="D127" s="16"/>
      <c r="E127" s="16"/>
      <c r="F127" s="16"/>
      <c r="G127" s="16"/>
      <c r="H127" s="16"/>
      <c r="I127" s="16"/>
      <c r="J127" s="16"/>
    </row>
    <row r="128" spans="1:10">
      <c r="A128" s="16"/>
      <c r="B128" s="16"/>
      <c r="C128" s="16"/>
      <c r="D128" s="16"/>
      <c r="E128" s="16"/>
      <c r="F128" s="16"/>
      <c r="G128" s="16"/>
      <c r="H128" s="16"/>
      <c r="I128" s="16"/>
      <c r="J128" s="16"/>
    </row>
    <row r="129" spans="1:10">
      <c r="A129" s="16"/>
      <c r="B129" s="16"/>
      <c r="C129" s="16"/>
      <c r="D129" s="16"/>
      <c r="E129" s="16"/>
      <c r="F129" s="16"/>
      <c r="G129" s="16"/>
      <c r="H129" s="16"/>
      <c r="I129" s="16"/>
      <c r="J129" s="16"/>
    </row>
    <row r="130" spans="1:10">
      <c r="A130" s="16"/>
      <c r="B130" s="16"/>
      <c r="C130" s="16"/>
      <c r="D130" s="16"/>
      <c r="E130" s="16"/>
      <c r="F130" s="16"/>
      <c r="G130" s="16"/>
      <c r="H130" s="16"/>
      <c r="I130" s="16"/>
      <c r="J130" s="16"/>
    </row>
    <row r="131" spans="1:10">
      <c r="A131" s="16"/>
      <c r="B131" s="16"/>
      <c r="C131" s="16"/>
      <c r="D131" s="16"/>
      <c r="E131" s="16"/>
      <c r="F131" s="16"/>
      <c r="G131" s="16"/>
      <c r="H131" s="16"/>
      <c r="I131" s="16"/>
      <c r="J131" s="16"/>
    </row>
    <row r="132" spans="1:10">
      <c r="A132" s="16"/>
      <c r="B132" s="16"/>
      <c r="C132" s="16"/>
      <c r="D132" s="16"/>
      <c r="E132" s="16"/>
      <c r="F132" s="16"/>
      <c r="G132" s="16"/>
      <c r="H132" s="16"/>
      <c r="I132" s="16"/>
      <c r="J132" s="16"/>
    </row>
    <row r="133" spans="1:10">
      <c r="A133" s="16"/>
      <c r="B133" s="16"/>
      <c r="C133" s="16"/>
      <c r="D133" s="16"/>
      <c r="E133" s="16"/>
      <c r="F133" s="16"/>
      <c r="G133" s="16"/>
      <c r="H133" s="16"/>
      <c r="I133" s="16"/>
      <c r="J133" s="16"/>
    </row>
    <row r="134" spans="1:10">
      <c r="A134" s="16"/>
      <c r="B134" s="16"/>
      <c r="C134" s="16"/>
      <c r="D134" s="16"/>
      <c r="E134" s="16"/>
      <c r="F134" s="16"/>
      <c r="G134" s="16"/>
      <c r="H134" s="16"/>
      <c r="I134" s="16"/>
      <c r="J134" s="16"/>
    </row>
    <row r="135" spans="1:10">
      <c r="A135" s="16"/>
      <c r="B135" s="16"/>
      <c r="C135" s="16"/>
      <c r="D135" s="16"/>
      <c r="E135" s="16"/>
      <c r="F135" s="16"/>
      <c r="G135" s="16"/>
      <c r="H135" s="16"/>
      <c r="I135" s="16"/>
      <c r="J135" s="16"/>
    </row>
    <row r="136" spans="1:10">
      <c r="A136" s="16"/>
      <c r="B136" s="16"/>
      <c r="C136" s="16"/>
      <c r="D136" s="16"/>
      <c r="E136" s="16"/>
      <c r="F136" s="16"/>
      <c r="G136" s="16"/>
      <c r="H136" s="16"/>
      <c r="I136" s="16"/>
      <c r="J136" s="16"/>
    </row>
    <row r="137" spans="1:10">
      <c r="A137" s="16"/>
      <c r="B137" s="16"/>
      <c r="C137" s="16"/>
      <c r="D137" s="16"/>
      <c r="E137" s="16"/>
      <c r="F137" s="16"/>
      <c r="G137" s="16"/>
      <c r="H137" s="16"/>
      <c r="I137" s="16"/>
      <c r="J137" s="16"/>
    </row>
    <row r="138" spans="1:10">
      <c r="A138" s="16"/>
      <c r="B138" s="16"/>
      <c r="C138" s="16"/>
      <c r="D138" s="16"/>
      <c r="E138" s="16"/>
      <c r="F138" s="16"/>
      <c r="G138" s="16"/>
      <c r="H138" s="16"/>
      <c r="I138" s="16"/>
      <c r="J138" s="16"/>
    </row>
    <row r="139" spans="1:10">
      <c r="A139" s="16"/>
      <c r="B139" s="16"/>
      <c r="C139" s="16"/>
      <c r="D139" s="16"/>
      <c r="E139" s="16"/>
      <c r="F139" s="16"/>
      <c r="G139" s="16"/>
      <c r="H139" s="16"/>
      <c r="I139" s="16"/>
      <c r="J139" s="16"/>
    </row>
    <row r="140" spans="1:10">
      <c r="A140" s="16"/>
      <c r="B140" s="16"/>
      <c r="C140" s="16"/>
      <c r="D140" s="16"/>
      <c r="E140" s="16"/>
      <c r="F140" s="16"/>
      <c r="G140" s="16"/>
      <c r="H140" s="16"/>
      <c r="I140" s="16"/>
      <c r="J140" s="16"/>
    </row>
    <row r="141" spans="1:10">
      <c r="A141" s="16"/>
      <c r="B141" s="16"/>
      <c r="C141" s="16"/>
      <c r="D141" s="16"/>
      <c r="E141" s="16"/>
      <c r="F141" s="16"/>
      <c r="G141" s="16"/>
      <c r="H141" s="16"/>
      <c r="I141" s="16"/>
      <c r="J141" s="16"/>
    </row>
    <row r="142" spans="1:10">
      <c r="A142" s="16"/>
      <c r="B142" s="16"/>
      <c r="C142" s="16"/>
      <c r="D142" s="16"/>
      <c r="E142" s="16"/>
      <c r="F142" s="16"/>
      <c r="G142" s="16"/>
      <c r="H142" s="16"/>
      <c r="I142" s="16"/>
      <c r="J142" s="16"/>
    </row>
    <row r="143" spans="1:10">
      <c r="A143" s="16"/>
      <c r="B143" s="16"/>
      <c r="C143" s="16"/>
      <c r="D143" s="16"/>
      <c r="E143" s="16"/>
      <c r="F143" s="16"/>
      <c r="G143" s="16"/>
      <c r="H143" s="16"/>
      <c r="I143" s="16"/>
      <c r="J143" s="16"/>
    </row>
    <row r="144" spans="1:10">
      <c r="A144" s="16"/>
      <c r="B144" s="16"/>
      <c r="C144" s="16"/>
      <c r="D144" s="16"/>
      <c r="E144" s="16"/>
      <c r="F144" s="16"/>
      <c r="G144" s="16"/>
      <c r="H144" s="16"/>
      <c r="I144" s="16"/>
      <c r="J144" s="16"/>
    </row>
    <row r="145" spans="1:10">
      <c r="A145" s="16"/>
      <c r="B145" s="16"/>
      <c r="C145" s="16"/>
      <c r="D145" s="16"/>
      <c r="E145" s="16"/>
      <c r="F145" s="16"/>
      <c r="G145" s="16"/>
      <c r="H145" s="16"/>
      <c r="I145" s="16"/>
      <c r="J145" s="16"/>
    </row>
    <row r="146" spans="1:10">
      <c r="A146" s="16"/>
      <c r="B146" s="16"/>
      <c r="C146" s="16"/>
      <c r="D146" s="16"/>
      <c r="E146" s="16"/>
      <c r="F146" s="16"/>
      <c r="G146" s="16"/>
      <c r="H146" s="16"/>
      <c r="I146" s="16"/>
      <c r="J146" s="16"/>
    </row>
    <row r="147" spans="1:10">
      <c r="A147" s="16"/>
      <c r="B147" s="16"/>
      <c r="C147" s="16"/>
      <c r="D147" s="16"/>
      <c r="E147" s="16"/>
      <c r="F147" s="16"/>
      <c r="G147" s="16"/>
      <c r="H147" s="16"/>
      <c r="I147" s="16"/>
      <c r="J147" s="16"/>
    </row>
    <row r="148" spans="1:10">
      <c r="A148" s="16"/>
      <c r="B148" s="16"/>
      <c r="C148" s="16"/>
      <c r="D148" s="16"/>
      <c r="E148" s="16"/>
      <c r="F148" s="16"/>
      <c r="G148" s="16"/>
      <c r="H148" s="16"/>
      <c r="I148" s="16"/>
      <c r="J148" s="16"/>
    </row>
    <row r="149" spans="1:10">
      <c r="A149" s="16"/>
      <c r="B149" s="16"/>
      <c r="C149" s="16"/>
      <c r="D149" s="16"/>
      <c r="E149" s="16"/>
      <c r="F149" s="16"/>
      <c r="G149" s="16"/>
      <c r="H149" s="16"/>
      <c r="I149" s="16"/>
      <c r="J149" s="16"/>
    </row>
    <row r="150" spans="1:10">
      <c r="A150" s="16"/>
      <c r="B150" s="16"/>
      <c r="C150" s="16"/>
      <c r="D150" s="16"/>
      <c r="E150" s="16"/>
      <c r="F150" s="16"/>
      <c r="G150" s="16"/>
      <c r="H150" s="16"/>
      <c r="I150" s="16"/>
      <c r="J150" s="16"/>
    </row>
    <row r="151" spans="1:10">
      <c r="A151" s="16"/>
      <c r="B151" s="16"/>
      <c r="C151" s="16"/>
      <c r="D151" s="16"/>
      <c r="E151" s="16"/>
      <c r="F151" s="16"/>
      <c r="G151" s="16"/>
      <c r="H151" s="16"/>
      <c r="I151" s="16"/>
      <c r="J151" s="16"/>
    </row>
    <row r="152" spans="1:10">
      <c r="A152" s="16"/>
      <c r="B152" s="16"/>
      <c r="C152" s="16"/>
      <c r="D152" s="16"/>
      <c r="E152" s="16"/>
      <c r="F152" s="16"/>
      <c r="G152" s="16"/>
      <c r="H152" s="16"/>
      <c r="I152" s="16"/>
      <c r="J152" s="16"/>
    </row>
    <row r="153" spans="1:10">
      <c r="A153" s="16"/>
      <c r="B153" s="16"/>
      <c r="C153" s="16"/>
      <c r="D153" s="16"/>
      <c r="E153" s="16"/>
      <c r="F153" s="16"/>
      <c r="G153" s="16"/>
      <c r="H153" s="16"/>
      <c r="I153" s="16"/>
      <c r="J153" s="16"/>
    </row>
    <row r="154" spans="1:10">
      <c r="A154" s="16"/>
      <c r="B154" s="16"/>
      <c r="C154" s="16"/>
      <c r="D154" s="16"/>
      <c r="E154" s="16"/>
      <c r="F154" s="16"/>
      <c r="G154" s="16"/>
      <c r="H154" s="16"/>
      <c r="I154" s="16"/>
      <c r="J154" s="16"/>
    </row>
    <row r="155" spans="1:10">
      <c r="A155" s="16"/>
      <c r="B155" s="16"/>
      <c r="C155" s="16"/>
      <c r="D155" s="16"/>
      <c r="E155" s="16"/>
      <c r="F155" s="16"/>
      <c r="G155" s="16"/>
      <c r="H155" s="16"/>
      <c r="I155" s="16"/>
      <c r="J155" s="16"/>
    </row>
    <row r="156" spans="1:10">
      <c r="A156" s="16"/>
      <c r="B156" s="16"/>
      <c r="C156" s="16"/>
      <c r="D156" s="16"/>
      <c r="E156" s="16"/>
      <c r="F156" s="16"/>
      <c r="G156" s="16"/>
      <c r="H156" s="16"/>
      <c r="I156" s="16"/>
      <c r="J156" s="16"/>
    </row>
    <row r="157" spans="1:10">
      <c r="A157" s="16"/>
      <c r="B157" s="16"/>
      <c r="C157" s="16"/>
      <c r="D157" s="16"/>
      <c r="E157" s="16"/>
      <c r="F157" s="16"/>
      <c r="G157" s="16"/>
      <c r="H157" s="16"/>
      <c r="I157" s="16"/>
      <c r="J157" s="16"/>
    </row>
    <row r="158" spans="1:10">
      <c r="A158" s="16"/>
      <c r="B158" s="16"/>
      <c r="C158" s="16"/>
      <c r="D158" s="16"/>
      <c r="E158" s="16"/>
      <c r="F158" s="16"/>
      <c r="G158" s="16"/>
      <c r="H158" s="16"/>
      <c r="I158" s="16"/>
      <c r="J158" s="16"/>
    </row>
    <row r="159" spans="1:10">
      <c r="A159" s="16"/>
      <c r="B159" s="16"/>
      <c r="C159" s="16"/>
      <c r="D159" s="16"/>
      <c r="E159" s="16"/>
      <c r="F159" s="16"/>
      <c r="G159" s="16"/>
      <c r="H159" s="16"/>
      <c r="I159" s="16"/>
      <c r="J159" s="16"/>
    </row>
    <row r="160" spans="1:10">
      <c r="A160" s="16"/>
      <c r="B160" s="16"/>
      <c r="C160" s="16"/>
      <c r="D160" s="16"/>
      <c r="E160" s="16"/>
      <c r="F160" s="16"/>
      <c r="G160" s="16"/>
      <c r="H160" s="16"/>
      <c r="I160" s="16"/>
      <c r="J160" s="16"/>
    </row>
    <row r="161" spans="1:10">
      <c r="A161" s="16"/>
      <c r="B161" s="16"/>
      <c r="C161" s="16"/>
      <c r="D161" s="16"/>
      <c r="E161" s="16"/>
      <c r="F161" s="16"/>
      <c r="G161" s="16"/>
      <c r="H161" s="16"/>
      <c r="I161" s="16"/>
      <c r="J161" s="16"/>
    </row>
    <row r="162" spans="1:10">
      <c r="A162" s="16"/>
      <c r="B162" s="16"/>
      <c r="C162" s="16"/>
      <c r="D162" s="16"/>
      <c r="E162" s="16"/>
      <c r="F162" s="16"/>
      <c r="G162" s="16"/>
      <c r="H162" s="16"/>
      <c r="I162" s="16"/>
      <c r="J162" s="16"/>
    </row>
    <row r="163" spans="1:10">
      <c r="A163" s="16"/>
      <c r="B163" s="16"/>
      <c r="C163" s="16"/>
      <c r="D163" s="16"/>
      <c r="E163" s="16"/>
      <c r="F163" s="16"/>
      <c r="G163" s="16"/>
      <c r="H163" s="16"/>
      <c r="I163" s="16"/>
      <c r="J163" s="16"/>
    </row>
    <row r="164" spans="1:10">
      <c r="A164" s="16"/>
      <c r="B164" s="16"/>
      <c r="C164" s="16"/>
      <c r="D164" s="16"/>
      <c r="E164" s="16"/>
      <c r="F164" s="16"/>
      <c r="G164" s="16"/>
      <c r="H164" s="16"/>
      <c r="I164" s="16"/>
      <c r="J164" s="16"/>
    </row>
    <row r="165" spans="1:10">
      <c r="A165" s="16"/>
      <c r="B165" s="16"/>
      <c r="C165" s="16"/>
      <c r="D165" s="16"/>
      <c r="E165" s="16"/>
      <c r="F165" s="16"/>
      <c r="G165" s="16"/>
      <c r="H165" s="16"/>
      <c r="I165" s="16"/>
      <c r="J165" s="16"/>
    </row>
    <row r="166" spans="1:10">
      <c r="A166" s="16"/>
      <c r="B166" s="16"/>
      <c r="C166" s="16"/>
      <c r="D166" s="16"/>
      <c r="E166" s="16"/>
      <c r="F166" s="16"/>
      <c r="G166" s="16"/>
      <c r="H166" s="16"/>
      <c r="I166" s="16"/>
      <c r="J166" s="16"/>
    </row>
    <row r="167" spans="1:10">
      <c r="A167" s="16"/>
      <c r="B167" s="16"/>
      <c r="C167" s="16"/>
      <c r="D167" s="16"/>
      <c r="E167" s="16"/>
      <c r="F167" s="16"/>
      <c r="G167" s="16"/>
      <c r="H167" s="16"/>
      <c r="I167" s="16"/>
      <c r="J167" s="16"/>
    </row>
    <row r="168" spans="1:10">
      <c r="A168" s="16"/>
      <c r="B168" s="16"/>
      <c r="C168" s="16"/>
      <c r="D168" s="16"/>
      <c r="E168" s="16"/>
      <c r="F168" s="16"/>
      <c r="G168" s="16"/>
      <c r="H168" s="16"/>
      <c r="I168" s="16"/>
      <c r="J168" s="16"/>
    </row>
    <row r="169" spans="1:10">
      <c r="A169" s="16"/>
      <c r="B169" s="16"/>
      <c r="C169" s="16"/>
      <c r="D169" s="16"/>
      <c r="E169" s="16"/>
      <c r="F169" s="16"/>
      <c r="G169" s="16"/>
      <c r="H169" s="16"/>
      <c r="I169" s="16"/>
      <c r="J169" s="16"/>
    </row>
    <row r="170" spans="1:10">
      <c r="A170" s="16"/>
      <c r="B170" s="16"/>
      <c r="C170" s="16"/>
      <c r="D170" s="16"/>
      <c r="E170" s="16"/>
      <c r="F170" s="16"/>
      <c r="G170" s="16"/>
      <c r="H170" s="16"/>
      <c r="I170" s="16"/>
      <c r="J170" s="16"/>
    </row>
    <row r="171" spans="1:10">
      <c r="A171" s="16"/>
      <c r="B171" s="16"/>
      <c r="C171" s="16"/>
      <c r="D171" s="16"/>
      <c r="E171" s="16"/>
      <c r="F171" s="16"/>
      <c r="G171" s="16"/>
      <c r="H171" s="16"/>
      <c r="I171" s="16"/>
      <c r="J171" s="16"/>
    </row>
    <row r="172" spans="1:10">
      <c r="A172" s="16"/>
      <c r="B172" s="16"/>
      <c r="C172" s="16"/>
      <c r="D172" s="16"/>
      <c r="E172" s="16"/>
      <c r="F172" s="16"/>
      <c r="G172" s="16"/>
      <c r="H172" s="16"/>
      <c r="I172" s="16"/>
      <c r="J172" s="16"/>
    </row>
    <row r="173" spans="1:10">
      <c r="A173" s="16"/>
      <c r="B173" s="16"/>
      <c r="C173" s="16"/>
      <c r="D173" s="16"/>
      <c r="E173" s="16"/>
      <c r="F173" s="16"/>
      <c r="G173" s="16"/>
      <c r="H173" s="16"/>
      <c r="I173" s="16"/>
      <c r="J173" s="16"/>
    </row>
    <row r="174" spans="1:10">
      <c r="A174" s="16"/>
      <c r="B174" s="16"/>
      <c r="C174" s="16"/>
      <c r="D174" s="16"/>
      <c r="E174" s="16"/>
      <c r="F174" s="16"/>
      <c r="G174" s="16"/>
      <c r="H174" s="16"/>
      <c r="I174" s="16"/>
      <c r="J174" s="16"/>
    </row>
    <row r="175" spans="1:10">
      <c r="A175" s="16"/>
      <c r="B175" s="16"/>
      <c r="C175" s="16"/>
      <c r="D175" s="16"/>
      <c r="E175" s="16"/>
      <c r="F175" s="16"/>
      <c r="G175" s="16"/>
      <c r="H175" s="16"/>
      <c r="I175" s="16"/>
      <c r="J175" s="16"/>
    </row>
    <row r="176" spans="1:10">
      <c r="A176" s="16"/>
      <c r="B176" s="16"/>
      <c r="C176" s="16"/>
      <c r="D176" s="16"/>
      <c r="E176" s="16"/>
      <c r="F176" s="16"/>
      <c r="G176" s="16"/>
      <c r="H176" s="16"/>
      <c r="I176" s="16"/>
      <c r="J176" s="16"/>
    </row>
    <row r="177" spans="1:10">
      <c r="A177" s="16"/>
      <c r="B177" s="16"/>
      <c r="C177" s="16"/>
      <c r="D177" s="16"/>
      <c r="E177" s="16"/>
      <c r="F177" s="16"/>
      <c r="G177" s="16"/>
      <c r="H177" s="16"/>
      <c r="I177" s="16"/>
      <c r="J177" s="16"/>
    </row>
    <row r="178" spans="1:10">
      <c r="A178" s="16"/>
      <c r="B178" s="16"/>
      <c r="C178" s="16"/>
      <c r="D178" s="16"/>
      <c r="E178" s="16"/>
      <c r="F178" s="16"/>
      <c r="G178" s="16"/>
      <c r="H178" s="16"/>
      <c r="I178" s="16"/>
      <c r="J178" s="16"/>
    </row>
    <row r="179" spans="1:10">
      <c r="A179" s="16"/>
      <c r="B179" s="16"/>
      <c r="C179" s="16"/>
      <c r="D179" s="16"/>
      <c r="E179" s="16"/>
      <c r="F179" s="16"/>
      <c r="G179" s="16"/>
      <c r="H179" s="16"/>
      <c r="I179" s="16"/>
      <c r="J179" s="16"/>
    </row>
    <row r="180" spans="1:10">
      <c r="A180" s="16"/>
      <c r="B180" s="16"/>
      <c r="C180" s="16"/>
      <c r="D180" s="16"/>
      <c r="E180" s="16"/>
      <c r="F180" s="16"/>
      <c r="G180" s="16"/>
      <c r="H180" s="16"/>
      <c r="I180" s="16"/>
      <c r="J180" s="16"/>
    </row>
    <row r="181" spans="1:10">
      <c r="A181" s="16"/>
      <c r="B181" s="16"/>
      <c r="C181" s="16"/>
      <c r="D181" s="16"/>
      <c r="E181" s="16"/>
      <c r="F181" s="16"/>
      <c r="G181" s="16"/>
      <c r="H181" s="16"/>
      <c r="I181" s="16"/>
      <c r="J181" s="16"/>
    </row>
    <row r="182" spans="1:10">
      <c r="A182" s="16"/>
      <c r="B182" s="16"/>
      <c r="C182" s="16"/>
      <c r="D182" s="16"/>
      <c r="E182" s="16"/>
      <c r="F182" s="16"/>
      <c r="G182" s="16"/>
      <c r="H182" s="16"/>
      <c r="I182" s="16"/>
      <c r="J182" s="16"/>
    </row>
    <row r="183" spans="1:10">
      <c r="A183" s="16"/>
      <c r="B183" s="16"/>
      <c r="C183" s="16"/>
      <c r="D183" s="16"/>
      <c r="E183" s="16"/>
      <c r="F183" s="16"/>
      <c r="G183" s="16"/>
      <c r="H183" s="16"/>
      <c r="I183" s="16"/>
      <c r="J183" s="16"/>
    </row>
    <row r="184" spans="1:10">
      <c r="A184" s="16"/>
      <c r="B184" s="16"/>
      <c r="C184" s="16"/>
      <c r="D184" s="16"/>
      <c r="E184" s="16"/>
      <c r="F184" s="16"/>
      <c r="G184" s="16"/>
      <c r="H184" s="16"/>
      <c r="I184" s="16"/>
      <c r="J184" s="16"/>
    </row>
    <row r="185" spans="1:10">
      <c r="A185" s="16"/>
      <c r="B185" s="16"/>
      <c r="C185" s="16"/>
      <c r="D185" s="16"/>
      <c r="E185" s="16"/>
      <c r="F185" s="16"/>
      <c r="G185" s="16"/>
      <c r="H185" s="16"/>
      <c r="I185" s="16"/>
      <c r="J185" s="16"/>
    </row>
    <row r="186" spans="1:10">
      <c r="A186" s="16"/>
      <c r="B186" s="16"/>
      <c r="C186" s="16"/>
      <c r="D186" s="16"/>
      <c r="E186" s="16"/>
      <c r="F186" s="16"/>
      <c r="G186" s="16"/>
      <c r="H186" s="16"/>
      <c r="I186" s="16"/>
      <c r="J186" s="16"/>
    </row>
    <row r="187" spans="1:10">
      <c r="A187" s="16"/>
      <c r="B187" s="16"/>
      <c r="C187" s="16"/>
      <c r="D187" s="16"/>
      <c r="E187" s="16"/>
      <c r="F187" s="16"/>
      <c r="G187" s="16"/>
      <c r="H187" s="16"/>
      <c r="I187" s="16"/>
      <c r="J187" s="16"/>
    </row>
    <row r="188" spans="1:10">
      <c r="A188" s="16"/>
      <c r="B188" s="16"/>
      <c r="C188" s="16"/>
      <c r="D188" s="16"/>
      <c r="E188" s="16"/>
      <c r="F188" s="16"/>
      <c r="G188" s="16"/>
      <c r="H188" s="16"/>
      <c r="I188" s="16"/>
      <c r="J188" s="16"/>
    </row>
    <row r="189" spans="1:10">
      <c r="A189" s="16"/>
      <c r="B189" s="16"/>
      <c r="C189" s="16"/>
      <c r="D189" s="16"/>
      <c r="E189" s="16"/>
      <c r="F189" s="16"/>
      <c r="G189" s="16"/>
      <c r="H189" s="16"/>
      <c r="I189" s="16"/>
      <c r="J189" s="16"/>
    </row>
    <row r="190" spans="1:10">
      <c r="A190" s="16"/>
      <c r="B190" s="16"/>
      <c r="C190" s="16"/>
      <c r="D190" s="16"/>
      <c r="E190" s="16"/>
      <c r="F190" s="16"/>
      <c r="G190" s="16"/>
      <c r="H190" s="16"/>
      <c r="I190" s="16"/>
      <c r="J190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00"/>
  <sheetViews>
    <sheetView workbookViewId="0"/>
  </sheetViews>
  <sheetFormatPr baseColWidth="10" defaultColWidth="8.6640625" defaultRowHeight="14"/>
  <cols>
    <col min="1" max="2" width="14" customWidth="1"/>
    <col min="3" max="3" width="34" customWidth="1"/>
    <col min="4" max="4" width="27" customWidth="1"/>
    <col min="5" max="5" width="20" customWidth="1"/>
    <col min="6" max="6" width="25" customWidth="1"/>
    <col min="7" max="7" width="12" customWidth="1"/>
    <col min="8" max="8" width="18" customWidth="1"/>
    <col min="9" max="10" width="16" customWidth="1"/>
    <col min="11" max="11" width="34" customWidth="1"/>
    <col min="12" max="12" width="38" customWidth="1"/>
  </cols>
  <sheetData>
    <row r="1" spans="1:12" ht="15.15" customHeight="1">
      <c r="A1" s="5" t="s">
        <v>0</v>
      </c>
      <c r="B1" s="5" t="s">
        <v>109</v>
      </c>
      <c r="C1" s="5" t="s">
        <v>5</v>
      </c>
      <c r="D1" s="5" t="s">
        <v>110</v>
      </c>
      <c r="E1" s="5" t="s">
        <v>1</v>
      </c>
      <c r="F1" s="5" t="s">
        <v>8</v>
      </c>
      <c r="G1" s="5" t="s">
        <v>111</v>
      </c>
      <c r="H1" s="5" t="s">
        <v>112</v>
      </c>
      <c r="I1" s="5" t="s">
        <v>113</v>
      </c>
      <c r="J1" s="5" t="s">
        <v>9</v>
      </c>
      <c r="K1" s="5" t="s">
        <v>10</v>
      </c>
      <c r="L1" s="5" t="s">
        <v>114</v>
      </c>
    </row>
    <row r="2" spans="1:12" ht="17.75" customHeight="1">
      <c r="A2" s="20">
        <v>46032</v>
      </c>
      <c r="B2" s="21" t="s">
        <v>115</v>
      </c>
      <c r="C2" s="21" t="s">
        <v>116</v>
      </c>
      <c r="D2" s="21" t="s">
        <v>117</v>
      </c>
      <c r="E2" s="21" t="s">
        <v>108</v>
      </c>
      <c r="F2" s="21" t="s">
        <v>118</v>
      </c>
      <c r="G2" s="22">
        <v>1</v>
      </c>
      <c r="H2" s="22">
        <v>1</v>
      </c>
      <c r="I2" s="24">
        <v>100</v>
      </c>
      <c r="J2" s="21" t="s">
        <v>13</v>
      </c>
      <c r="K2" s="21" t="s">
        <v>119</v>
      </c>
      <c r="L2" s="21" t="s">
        <v>120</v>
      </c>
    </row>
    <row r="3" spans="1:12" ht="17.75" customHeight="1">
      <c r="A3" s="20">
        <v>46101</v>
      </c>
      <c r="B3" s="21" t="s">
        <v>121</v>
      </c>
      <c r="C3" s="21" t="s">
        <v>122</v>
      </c>
      <c r="D3" s="21" t="s">
        <v>77</v>
      </c>
      <c r="E3" s="21" t="s">
        <v>11</v>
      </c>
      <c r="F3" s="21" t="s">
        <v>118</v>
      </c>
      <c r="G3" s="22">
        <v>1</v>
      </c>
      <c r="H3" s="22">
        <v>1</v>
      </c>
      <c r="I3" s="24">
        <v>100</v>
      </c>
      <c r="J3" s="21" t="s">
        <v>13</v>
      </c>
      <c r="K3" s="21" t="s">
        <v>123</v>
      </c>
      <c r="L3" s="21" t="s">
        <v>124</v>
      </c>
    </row>
    <row r="4" spans="1:12" ht="17.75" customHeight="1">
      <c r="A4" s="20">
        <v>46157</v>
      </c>
      <c r="B4" s="21" t="s">
        <v>125</v>
      </c>
      <c r="C4" s="21" t="s">
        <v>126</v>
      </c>
      <c r="D4" s="21" t="s">
        <v>127</v>
      </c>
      <c r="E4" s="21" t="s">
        <v>21</v>
      </c>
      <c r="F4" s="21" t="s">
        <v>128</v>
      </c>
      <c r="G4" s="22">
        <v>1</v>
      </c>
      <c r="H4" s="22">
        <v>1</v>
      </c>
      <c r="I4" s="24">
        <v>100</v>
      </c>
      <c r="J4" s="21" t="s">
        <v>13</v>
      </c>
      <c r="K4" s="21" t="s">
        <v>129</v>
      </c>
      <c r="L4" s="21" t="s">
        <v>130</v>
      </c>
    </row>
    <row r="5" spans="1:12" ht="17.75" customHeight="1">
      <c r="A5" s="20">
        <v>46221</v>
      </c>
      <c r="B5" s="21" t="s">
        <v>131</v>
      </c>
      <c r="C5" s="21" t="s">
        <v>132</v>
      </c>
      <c r="D5" s="21" t="s">
        <v>89</v>
      </c>
      <c r="E5" s="21" t="s">
        <v>16</v>
      </c>
      <c r="F5" s="21" t="s">
        <v>118</v>
      </c>
      <c r="G5" s="22">
        <v>1</v>
      </c>
      <c r="H5" s="22">
        <v>0</v>
      </c>
      <c r="I5" s="24">
        <v>0</v>
      </c>
      <c r="J5" s="21" t="s">
        <v>66</v>
      </c>
      <c r="K5" s="21"/>
      <c r="L5" s="21" t="s">
        <v>133</v>
      </c>
    </row>
    <row r="6" spans="1:12" ht="17.75" customHeight="1">
      <c r="A6" s="20">
        <v>46246</v>
      </c>
      <c r="B6" s="21" t="s">
        <v>134</v>
      </c>
      <c r="C6" s="21" t="s">
        <v>135</v>
      </c>
      <c r="D6" s="21" t="s">
        <v>136</v>
      </c>
      <c r="E6" s="21" t="s">
        <v>108</v>
      </c>
      <c r="F6" s="21" t="s">
        <v>49</v>
      </c>
      <c r="G6" s="22">
        <v>1</v>
      </c>
      <c r="H6" s="22">
        <v>0</v>
      </c>
      <c r="I6" s="24">
        <v>0</v>
      </c>
      <c r="J6" s="21" t="s">
        <v>66</v>
      </c>
      <c r="K6" s="21"/>
      <c r="L6" s="21" t="s">
        <v>137</v>
      </c>
    </row>
    <row r="7" spans="1:12">
      <c r="A7" s="19"/>
      <c r="B7" s="16"/>
      <c r="C7" s="16"/>
      <c r="D7" s="16"/>
      <c r="E7" s="16"/>
      <c r="F7" s="16"/>
      <c r="G7" s="23"/>
      <c r="H7" s="23"/>
      <c r="I7" s="25"/>
      <c r="J7" s="16"/>
      <c r="K7" s="16"/>
      <c r="L7" s="16"/>
    </row>
    <row r="8" spans="1:12">
      <c r="A8" s="19"/>
      <c r="B8" s="16"/>
      <c r="C8" s="16"/>
      <c r="D8" s="16"/>
      <c r="E8" s="16"/>
      <c r="F8" s="16"/>
      <c r="G8" s="23"/>
      <c r="H8" s="23"/>
      <c r="I8" s="25"/>
      <c r="J8" s="16"/>
      <c r="K8" s="16"/>
      <c r="L8" s="16"/>
    </row>
    <row r="9" spans="1:12">
      <c r="A9" s="19"/>
      <c r="B9" s="16"/>
      <c r="C9" s="16"/>
      <c r="D9" s="16"/>
      <c r="E9" s="16"/>
      <c r="F9" s="16"/>
      <c r="G9" s="23"/>
      <c r="H9" s="23"/>
      <c r="I9" s="25"/>
      <c r="J9" s="16"/>
      <c r="K9" s="16"/>
      <c r="L9" s="16"/>
    </row>
    <row r="10" spans="1:12">
      <c r="A10" s="19"/>
      <c r="B10" s="16"/>
      <c r="C10" s="16"/>
      <c r="D10" s="16"/>
      <c r="E10" s="16"/>
      <c r="F10" s="16"/>
      <c r="G10" s="23"/>
      <c r="H10" s="23"/>
      <c r="I10" s="25"/>
      <c r="J10" s="16"/>
      <c r="K10" s="16"/>
      <c r="L10" s="16"/>
    </row>
    <row r="11" spans="1:12">
      <c r="A11" s="19"/>
      <c r="B11" s="16"/>
      <c r="C11" s="16"/>
      <c r="D11" s="16"/>
      <c r="E11" s="16"/>
      <c r="F11" s="16"/>
      <c r="G11" s="23"/>
      <c r="H11" s="23"/>
      <c r="I11" s="25"/>
      <c r="J11" s="16"/>
      <c r="K11" s="16"/>
      <c r="L11" s="16"/>
    </row>
    <row r="12" spans="1:12">
      <c r="A12" s="19"/>
      <c r="B12" s="16"/>
      <c r="C12" s="16"/>
      <c r="D12" s="16"/>
      <c r="E12" s="16"/>
      <c r="F12" s="16"/>
      <c r="G12" s="23"/>
      <c r="H12" s="23"/>
      <c r="I12" s="25"/>
      <c r="J12" s="16"/>
      <c r="K12" s="16"/>
      <c r="L12" s="16"/>
    </row>
    <row r="13" spans="1:12">
      <c r="A13" s="19"/>
      <c r="B13" s="16"/>
      <c r="C13" s="16"/>
      <c r="D13" s="16"/>
      <c r="E13" s="16"/>
      <c r="F13" s="16"/>
      <c r="G13" s="23"/>
      <c r="H13" s="23"/>
      <c r="I13" s="25"/>
      <c r="J13" s="16"/>
      <c r="K13" s="16"/>
      <c r="L13" s="16"/>
    </row>
    <row r="14" spans="1:12">
      <c r="A14" s="19"/>
      <c r="B14" s="16"/>
      <c r="C14" s="16"/>
      <c r="D14" s="16"/>
      <c r="E14" s="16"/>
      <c r="F14" s="16"/>
      <c r="G14" s="23"/>
      <c r="H14" s="23"/>
      <c r="I14" s="25"/>
      <c r="J14" s="16"/>
      <c r="K14" s="16"/>
      <c r="L14" s="16"/>
    </row>
    <row r="15" spans="1:12">
      <c r="A15" s="19"/>
      <c r="B15" s="16"/>
      <c r="C15" s="16"/>
      <c r="D15" s="16"/>
      <c r="E15" s="16"/>
      <c r="F15" s="16"/>
      <c r="G15" s="23"/>
      <c r="H15" s="23"/>
      <c r="I15" s="25"/>
      <c r="J15" s="16"/>
      <c r="K15" s="16"/>
      <c r="L15" s="16"/>
    </row>
    <row r="16" spans="1:12">
      <c r="A16" s="19"/>
      <c r="B16" s="16"/>
      <c r="C16" s="16"/>
      <c r="D16" s="16"/>
      <c r="E16" s="16"/>
      <c r="F16" s="16"/>
      <c r="G16" s="23"/>
      <c r="H16" s="23"/>
      <c r="I16" s="25"/>
      <c r="J16" s="16"/>
      <c r="K16" s="16"/>
      <c r="L16" s="16"/>
    </row>
    <row r="17" spans="1:12">
      <c r="A17" s="19"/>
      <c r="B17" s="16"/>
      <c r="C17" s="16"/>
      <c r="D17" s="16"/>
      <c r="E17" s="16"/>
      <c r="F17" s="16"/>
      <c r="G17" s="23"/>
      <c r="H17" s="23"/>
      <c r="I17" s="25"/>
      <c r="J17" s="16"/>
      <c r="K17" s="16"/>
      <c r="L17" s="16"/>
    </row>
    <row r="18" spans="1:12">
      <c r="A18" s="19"/>
      <c r="B18" s="16"/>
      <c r="C18" s="16"/>
      <c r="D18" s="16"/>
      <c r="E18" s="16"/>
      <c r="F18" s="16"/>
      <c r="G18" s="23"/>
      <c r="H18" s="23"/>
      <c r="I18" s="25"/>
      <c r="J18" s="16"/>
      <c r="K18" s="16"/>
      <c r="L18" s="16"/>
    </row>
    <row r="19" spans="1:12">
      <c r="A19" s="19"/>
      <c r="B19" s="16"/>
      <c r="C19" s="16"/>
      <c r="D19" s="16"/>
      <c r="E19" s="16"/>
      <c r="F19" s="16"/>
      <c r="G19" s="23"/>
      <c r="H19" s="23"/>
      <c r="I19" s="25"/>
      <c r="J19" s="16"/>
      <c r="K19" s="16"/>
      <c r="L19" s="16"/>
    </row>
    <row r="20" spans="1:12">
      <c r="A20" s="19"/>
      <c r="B20" s="16"/>
      <c r="C20" s="16"/>
      <c r="D20" s="16"/>
      <c r="E20" s="16"/>
      <c r="F20" s="16"/>
      <c r="G20" s="23"/>
      <c r="H20" s="23"/>
      <c r="I20" s="25"/>
      <c r="J20" s="16"/>
      <c r="K20" s="16"/>
      <c r="L20" s="16"/>
    </row>
    <row r="21" spans="1:12">
      <c r="A21" s="19"/>
      <c r="B21" s="16"/>
      <c r="C21" s="16"/>
      <c r="D21" s="16"/>
      <c r="E21" s="16"/>
      <c r="F21" s="16"/>
      <c r="G21" s="23"/>
      <c r="H21" s="23"/>
      <c r="I21" s="25"/>
      <c r="J21" s="16"/>
      <c r="K21" s="16"/>
      <c r="L21" s="16"/>
    </row>
    <row r="22" spans="1:12">
      <c r="A22" s="19"/>
      <c r="B22" s="16"/>
      <c r="C22" s="16"/>
      <c r="D22" s="16"/>
      <c r="E22" s="16"/>
      <c r="F22" s="16"/>
      <c r="G22" s="23"/>
      <c r="H22" s="23"/>
      <c r="I22" s="25"/>
      <c r="J22" s="16"/>
      <c r="K22" s="16"/>
      <c r="L22" s="16"/>
    </row>
    <row r="23" spans="1:12">
      <c r="A23" s="19"/>
      <c r="B23" s="16"/>
      <c r="C23" s="16"/>
      <c r="D23" s="16"/>
      <c r="E23" s="16"/>
      <c r="F23" s="16"/>
      <c r="G23" s="23"/>
      <c r="H23" s="23"/>
      <c r="I23" s="25"/>
      <c r="J23" s="16"/>
      <c r="K23" s="16"/>
      <c r="L23" s="16"/>
    </row>
    <row r="24" spans="1:12">
      <c r="A24" s="19"/>
      <c r="B24" s="16"/>
      <c r="C24" s="16"/>
      <c r="D24" s="16"/>
      <c r="E24" s="16"/>
      <c r="F24" s="16"/>
      <c r="G24" s="23"/>
      <c r="H24" s="23"/>
      <c r="I24" s="25"/>
      <c r="J24" s="16"/>
      <c r="K24" s="16"/>
      <c r="L24" s="16"/>
    </row>
    <row r="25" spans="1:12">
      <c r="A25" s="19"/>
      <c r="B25" s="16"/>
      <c r="C25" s="16"/>
      <c r="D25" s="16"/>
      <c r="E25" s="16"/>
      <c r="F25" s="16"/>
      <c r="G25" s="23"/>
      <c r="H25" s="23"/>
      <c r="I25" s="25"/>
      <c r="J25" s="16"/>
      <c r="K25" s="16"/>
      <c r="L25" s="16"/>
    </row>
    <row r="26" spans="1:12">
      <c r="A26" s="19"/>
      <c r="B26" s="16"/>
      <c r="C26" s="16"/>
      <c r="D26" s="16"/>
      <c r="E26" s="16"/>
      <c r="F26" s="16"/>
      <c r="G26" s="23"/>
      <c r="H26" s="23"/>
      <c r="I26" s="25"/>
      <c r="J26" s="16"/>
      <c r="K26" s="16"/>
      <c r="L26" s="16"/>
    </row>
    <row r="27" spans="1:12">
      <c r="A27" s="19"/>
      <c r="B27" s="16"/>
      <c r="C27" s="16"/>
      <c r="D27" s="16"/>
      <c r="E27" s="16"/>
      <c r="F27" s="16"/>
      <c r="G27" s="23"/>
      <c r="H27" s="23"/>
      <c r="I27" s="25"/>
      <c r="J27" s="16"/>
      <c r="K27" s="16"/>
      <c r="L27" s="16"/>
    </row>
    <row r="28" spans="1:12">
      <c r="A28" s="19"/>
      <c r="B28" s="16"/>
      <c r="C28" s="16"/>
      <c r="D28" s="16"/>
      <c r="E28" s="16"/>
      <c r="F28" s="16"/>
      <c r="G28" s="23"/>
      <c r="H28" s="23"/>
      <c r="I28" s="25"/>
      <c r="J28" s="16"/>
      <c r="K28" s="16"/>
      <c r="L28" s="16"/>
    </row>
    <row r="29" spans="1:12">
      <c r="A29" s="19"/>
      <c r="B29" s="16"/>
      <c r="C29" s="16"/>
      <c r="D29" s="16"/>
      <c r="E29" s="16"/>
      <c r="F29" s="16"/>
      <c r="G29" s="23"/>
      <c r="H29" s="23"/>
      <c r="I29" s="25"/>
      <c r="J29" s="16"/>
      <c r="K29" s="16"/>
      <c r="L29" s="16"/>
    </row>
    <row r="30" spans="1:12">
      <c r="A30" s="19"/>
      <c r="B30" s="16"/>
      <c r="C30" s="16"/>
      <c r="D30" s="16"/>
      <c r="E30" s="16"/>
      <c r="F30" s="16"/>
      <c r="G30" s="23"/>
      <c r="H30" s="23"/>
      <c r="I30" s="25"/>
      <c r="J30" s="16"/>
      <c r="K30" s="16"/>
      <c r="L30" s="16"/>
    </row>
    <row r="31" spans="1:12">
      <c r="A31" s="19"/>
      <c r="B31" s="16"/>
      <c r="C31" s="16"/>
      <c r="D31" s="16"/>
      <c r="E31" s="16"/>
      <c r="F31" s="16"/>
      <c r="G31" s="23"/>
      <c r="H31" s="23"/>
      <c r="I31" s="25"/>
      <c r="J31" s="16"/>
      <c r="K31" s="16"/>
      <c r="L31" s="16"/>
    </row>
    <row r="32" spans="1:12">
      <c r="A32" s="19"/>
      <c r="B32" s="16"/>
      <c r="C32" s="16"/>
      <c r="D32" s="16"/>
      <c r="E32" s="16"/>
      <c r="F32" s="16"/>
      <c r="G32" s="23"/>
      <c r="H32" s="23"/>
      <c r="I32" s="25"/>
      <c r="J32" s="16"/>
      <c r="K32" s="16"/>
      <c r="L32" s="16"/>
    </row>
    <row r="33" spans="1:12">
      <c r="A33" s="19"/>
      <c r="B33" s="16"/>
      <c r="C33" s="16"/>
      <c r="D33" s="16"/>
      <c r="E33" s="16"/>
      <c r="F33" s="16"/>
      <c r="G33" s="23"/>
      <c r="H33" s="23"/>
      <c r="I33" s="25"/>
      <c r="J33" s="16"/>
      <c r="K33" s="16"/>
      <c r="L33" s="16"/>
    </row>
    <row r="34" spans="1:12">
      <c r="A34" s="19"/>
      <c r="B34" s="16"/>
      <c r="C34" s="16"/>
      <c r="D34" s="16"/>
      <c r="E34" s="16"/>
      <c r="F34" s="16"/>
      <c r="G34" s="23"/>
      <c r="H34" s="23"/>
      <c r="I34" s="25"/>
      <c r="J34" s="16"/>
      <c r="K34" s="16"/>
      <c r="L34" s="16"/>
    </row>
    <row r="35" spans="1:12">
      <c r="A35" s="19"/>
      <c r="B35" s="16"/>
      <c r="C35" s="16"/>
      <c r="D35" s="16"/>
      <c r="E35" s="16"/>
      <c r="F35" s="16"/>
      <c r="G35" s="23"/>
      <c r="H35" s="23"/>
      <c r="I35" s="25"/>
      <c r="J35" s="16"/>
      <c r="K35" s="16"/>
      <c r="L35" s="16"/>
    </row>
    <row r="36" spans="1:12">
      <c r="A36" s="19"/>
      <c r="B36" s="16"/>
      <c r="C36" s="16"/>
      <c r="D36" s="16"/>
      <c r="E36" s="16"/>
      <c r="F36" s="16"/>
      <c r="G36" s="23"/>
      <c r="H36" s="23"/>
      <c r="I36" s="25"/>
      <c r="J36" s="16"/>
      <c r="K36" s="16"/>
      <c r="L36" s="16"/>
    </row>
    <row r="37" spans="1:12">
      <c r="A37" s="19"/>
      <c r="B37" s="16"/>
      <c r="C37" s="16"/>
      <c r="D37" s="16"/>
      <c r="E37" s="16"/>
      <c r="F37" s="16"/>
      <c r="G37" s="23"/>
      <c r="H37" s="23"/>
      <c r="I37" s="25"/>
      <c r="J37" s="16"/>
      <c r="K37" s="16"/>
      <c r="L37" s="16"/>
    </row>
    <row r="38" spans="1:12">
      <c r="A38" s="19"/>
      <c r="B38" s="16"/>
      <c r="C38" s="16"/>
      <c r="D38" s="16"/>
      <c r="E38" s="16"/>
      <c r="F38" s="16"/>
      <c r="G38" s="23"/>
      <c r="H38" s="23"/>
      <c r="I38" s="25"/>
      <c r="J38" s="16"/>
      <c r="K38" s="16"/>
      <c r="L38" s="16"/>
    </row>
    <row r="39" spans="1:12">
      <c r="A39" s="19"/>
      <c r="B39" s="16"/>
      <c r="C39" s="16"/>
      <c r="D39" s="16"/>
      <c r="E39" s="16"/>
      <c r="F39" s="16"/>
      <c r="G39" s="23"/>
      <c r="H39" s="23"/>
      <c r="I39" s="25"/>
      <c r="J39" s="16"/>
      <c r="K39" s="16"/>
      <c r="L39" s="16"/>
    </row>
    <row r="40" spans="1:12">
      <c r="A40" s="19"/>
      <c r="B40" s="16"/>
      <c r="C40" s="16"/>
      <c r="D40" s="16"/>
      <c r="E40" s="16"/>
      <c r="F40" s="16"/>
      <c r="G40" s="23"/>
      <c r="H40" s="23"/>
      <c r="I40" s="25"/>
      <c r="J40" s="16"/>
      <c r="K40" s="16"/>
      <c r="L40" s="16"/>
    </row>
    <row r="41" spans="1:12">
      <c r="A41" s="19"/>
      <c r="B41" s="16"/>
      <c r="C41" s="16"/>
      <c r="D41" s="16"/>
      <c r="E41" s="16"/>
      <c r="F41" s="16"/>
      <c r="G41" s="23"/>
      <c r="H41" s="23"/>
      <c r="I41" s="25"/>
      <c r="J41" s="16"/>
      <c r="K41" s="16"/>
      <c r="L41" s="16"/>
    </row>
    <row r="42" spans="1:12">
      <c r="A42" s="8"/>
      <c r="G42" s="11"/>
      <c r="H42" s="11"/>
      <c r="I42" s="12"/>
    </row>
    <row r="43" spans="1:12">
      <c r="A43" s="8"/>
      <c r="G43" s="11"/>
      <c r="H43" s="11"/>
      <c r="I43" s="12"/>
    </row>
    <row r="44" spans="1:12">
      <c r="A44" s="8"/>
      <c r="G44" s="11"/>
      <c r="H44" s="11"/>
      <c r="I44" s="12"/>
    </row>
    <row r="45" spans="1:12">
      <c r="A45" s="8"/>
      <c r="G45" s="11"/>
      <c r="H45" s="11"/>
      <c r="I45" s="12"/>
    </row>
    <row r="46" spans="1:12">
      <c r="A46" s="8"/>
      <c r="G46" s="11"/>
      <c r="H46" s="11"/>
      <c r="I46" s="12"/>
    </row>
    <row r="47" spans="1:12">
      <c r="A47" s="8"/>
      <c r="G47" s="11"/>
      <c r="H47" s="11"/>
      <c r="I47" s="12"/>
    </row>
    <row r="48" spans="1:12">
      <c r="A48" s="8"/>
      <c r="G48" s="11"/>
      <c r="H48" s="11"/>
      <c r="I48" s="12"/>
    </row>
    <row r="49" spans="1:9">
      <c r="A49" s="8"/>
      <c r="G49" s="11"/>
      <c r="H49" s="11"/>
      <c r="I49" s="12"/>
    </row>
    <row r="50" spans="1:9">
      <c r="A50" s="8"/>
      <c r="G50" s="11"/>
      <c r="H50" s="11"/>
      <c r="I50" s="12"/>
    </row>
    <row r="51" spans="1:9">
      <c r="A51" s="8"/>
      <c r="G51" s="11"/>
      <c r="H51" s="11"/>
      <c r="I51" s="12"/>
    </row>
    <row r="52" spans="1:9">
      <c r="A52" s="8"/>
      <c r="G52" s="11"/>
      <c r="H52" s="11"/>
      <c r="I52" s="12"/>
    </row>
    <row r="53" spans="1:9">
      <c r="A53" s="8"/>
      <c r="G53" s="11"/>
      <c r="H53" s="11"/>
      <c r="I53" s="12"/>
    </row>
    <row r="54" spans="1:9">
      <c r="A54" s="8"/>
      <c r="G54" s="11"/>
      <c r="H54" s="11"/>
      <c r="I54" s="12"/>
    </row>
    <row r="55" spans="1:9">
      <c r="A55" s="8"/>
      <c r="G55" s="11"/>
      <c r="H55" s="11"/>
      <c r="I55" s="12"/>
    </row>
    <row r="56" spans="1:9">
      <c r="A56" s="8"/>
      <c r="G56" s="11"/>
      <c r="H56" s="11"/>
      <c r="I56" s="12"/>
    </row>
    <row r="57" spans="1:9">
      <c r="A57" s="8"/>
      <c r="G57" s="11"/>
      <c r="H57" s="11"/>
      <c r="I57" s="12"/>
    </row>
    <row r="58" spans="1:9">
      <c r="A58" s="8"/>
      <c r="G58" s="11"/>
      <c r="H58" s="11"/>
      <c r="I58" s="12"/>
    </row>
    <row r="59" spans="1:9">
      <c r="A59" s="8"/>
      <c r="G59" s="11"/>
      <c r="H59" s="11"/>
      <c r="I59" s="12"/>
    </row>
    <row r="60" spans="1:9">
      <c r="A60" s="8"/>
      <c r="G60" s="11"/>
      <c r="H60" s="11"/>
      <c r="I60" s="12"/>
    </row>
    <row r="61" spans="1:9">
      <c r="A61" s="8"/>
      <c r="G61" s="11"/>
      <c r="H61" s="11"/>
      <c r="I61" s="12"/>
    </row>
    <row r="62" spans="1:9">
      <c r="A62" s="8"/>
      <c r="G62" s="11"/>
      <c r="H62" s="11"/>
      <c r="I62" s="12"/>
    </row>
    <row r="63" spans="1:9">
      <c r="A63" s="8"/>
      <c r="G63" s="11"/>
      <c r="H63" s="11"/>
      <c r="I63" s="12"/>
    </row>
    <row r="64" spans="1:9">
      <c r="A64" s="8"/>
      <c r="G64" s="11"/>
      <c r="H64" s="11"/>
      <c r="I64" s="12"/>
    </row>
    <row r="65" spans="1:9">
      <c r="A65" s="8"/>
      <c r="G65" s="11"/>
      <c r="H65" s="11"/>
      <c r="I65" s="12"/>
    </row>
    <row r="66" spans="1:9">
      <c r="A66" s="8"/>
      <c r="G66" s="11"/>
      <c r="H66" s="11"/>
      <c r="I66" s="12"/>
    </row>
    <row r="67" spans="1:9">
      <c r="A67" s="8"/>
      <c r="G67" s="11"/>
      <c r="H67" s="11"/>
      <c r="I67" s="12"/>
    </row>
    <row r="68" spans="1:9">
      <c r="A68" s="8"/>
      <c r="G68" s="11"/>
      <c r="H68" s="11"/>
      <c r="I68" s="12"/>
    </row>
    <row r="69" spans="1:9">
      <c r="A69" s="8"/>
      <c r="G69" s="11"/>
      <c r="H69" s="11"/>
      <c r="I69" s="12"/>
    </row>
    <row r="70" spans="1:9">
      <c r="A70" s="8"/>
      <c r="G70" s="11"/>
      <c r="H70" s="11"/>
      <c r="I70" s="12"/>
    </row>
    <row r="71" spans="1:9">
      <c r="A71" s="8"/>
      <c r="G71" s="11"/>
      <c r="H71" s="11"/>
      <c r="I71" s="12"/>
    </row>
    <row r="72" spans="1:9">
      <c r="A72" s="8"/>
      <c r="G72" s="11"/>
      <c r="H72" s="11"/>
      <c r="I72" s="12"/>
    </row>
    <row r="73" spans="1:9">
      <c r="A73" s="8"/>
      <c r="G73" s="11"/>
      <c r="H73" s="11"/>
      <c r="I73" s="12"/>
    </row>
    <row r="74" spans="1:9">
      <c r="A74" s="8"/>
      <c r="G74" s="11"/>
      <c r="H74" s="11"/>
      <c r="I74" s="12"/>
    </row>
    <row r="75" spans="1:9">
      <c r="A75" s="8"/>
      <c r="G75" s="11"/>
      <c r="H75" s="11"/>
      <c r="I75" s="12"/>
    </row>
    <row r="76" spans="1:9">
      <c r="A76" s="8"/>
      <c r="G76" s="11"/>
      <c r="H76" s="11"/>
      <c r="I76" s="12"/>
    </row>
    <row r="77" spans="1:9">
      <c r="A77" s="8"/>
      <c r="G77" s="11"/>
      <c r="H77" s="11"/>
      <c r="I77" s="12"/>
    </row>
    <row r="78" spans="1:9">
      <c r="A78" s="8"/>
      <c r="G78" s="11"/>
      <c r="H78" s="11"/>
      <c r="I78" s="12"/>
    </row>
    <row r="79" spans="1:9">
      <c r="A79" s="8"/>
      <c r="G79" s="11"/>
      <c r="H79" s="11"/>
      <c r="I79" s="12"/>
    </row>
    <row r="80" spans="1:9">
      <c r="A80" s="8"/>
      <c r="G80" s="11"/>
      <c r="H80" s="11"/>
      <c r="I80" s="12"/>
    </row>
    <row r="81" spans="1:9">
      <c r="A81" s="8"/>
      <c r="G81" s="11"/>
      <c r="H81" s="11"/>
      <c r="I81" s="12"/>
    </row>
    <row r="82" spans="1:9">
      <c r="A82" s="8"/>
      <c r="G82" s="11"/>
      <c r="H82" s="11"/>
      <c r="I82" s="12"/>
    </row>
    <row r="83" spans="1:9">
      <c r="A83" s="8"/>
      <c r="G83" s="11"/>
      <c r="H83" s="11"/>
      <c r="I83" s="12"/>
    </row>
    <row r="84" spans="1:9">
      <c r="A84" s="8"/>
      <c r="G84" s="11"/>
      <c r="H84" s="11"/>
      <c r="I84" s="12"/>
    </row>
    <row r="85" spans="1:9">
      <c r="A85" s="8"/>
      <c r="G85" s="11"/>
      <c r="H85" s="11"/>
      <c r="I85" s="12"/>
    </row>
    <row r="86" spans="1:9">
      <c r="A86" s="8"/>
      <c r="G86" s="11"/>
      <c r="H86" s="11"/>
      <c r="I86" s="12"/>
    </row>
    <row r="87" spans="1:9">
      <c r="A87" s="8"/>
      <c r="G87" s="11"/>
      <c r="H87" s="11"/>
      <c r="I87" s="12"/>
    </row>
    <row r="88" spans="1:9">
      <c r="A88" s="8"/>
      <c r="G88" s="11"/>
      <c r="H88" s="11"/>
      <c r="I88" s="12"/>
    </row>
    <row r="89" spans="1:9">
      <c r="A89" s="8"/>
      <c r="G89" s="11"/>
      <c r="H89" s="11"/>
      <c r="I89" s="12"/>
    </row>
    <row r="90" spans="1:9">
      <c r="A90" s="8"/>
      <c r="G90" s="11"/>
      <c r="H90" s="11"/>
      <c r="I90" s="12"/>
    </row>
    <row r="91" spans="1:9">
      <c r="A91" s="8"/>
      <c r="G91" s="11"/>
      <c r="H91" s="11"/>
      <c r="I91" s="12"/>
    </row>
    <row r="92" spans="1:9">
      <c r="A92" s="8"/>
      <c r="G92" s="11"/>
      <c r="H92" s="11"/>
      <c r="I92" s="12"/>
    </row>
    <row r="93" spans="1:9">
      <c r="A93" s="8"/>
      <c r="G93" s="11"/>
      <c r="H93" s="11"/>
      <c r="I93" s="12"/>
    </row>
    <row r="94" spans="1:9">
      <c r="A94" s="8"/>
      <c r="G94" s="11"/>
      <c r="H94" s="11"/>
      <c r="I94" s="12"/>
    </row>
    <row r="95" spans="1:9">
      <c r="A95" s="8"/>
      <c r="G95" s="11"/>
      <c r="H95" s="11"/>
      <c r="I95" s="12"/>
    </row>
    <row r="96" spans="1:9">
      <c r="A96" s="8"/>
      <c r="G96" s="11"/>
      <c r="H96" s="11"/>
      <c r="I96" s="12"/>
    </row>
    <row r="97" spans="1:9">
      <c r="A97" s="8"/>
      <c r="G97" s="11"/>
      <c r="H97" s="11"/>
      <c r="I97" s="12"/>
    </row>
    <row r="98" spans="1:9">
      <c r="A98" s="8"/>
      <c r="G98" s="11"/>
      <c r="H98" s="11"/>
      <c r="I98" s="12"/>
    </row>
    <row r="99" spans="1:9">
      <c r="A99" s="8"/>
      <c r="G99" s="11"/>
      <c r="H99" s="11"/>
      <c r="I99" s="12"/>
    </row>
    <row r="100" spans="1:9">
      <c r="A100" s="8"/>
      <c r="G100" s="11"/>
      <c r="H100" s="11"/>
      <c r="I100" s="12"/>
    </row>
    <row r="101" spans="1:9">
      <c r="A101" s="8"/>
      <c r="G101" s="11"/>
      <c r="H101" s="11"/>
      <c r="I101" s="12"/>
    </row>
    <row r="102" spans="1:9">
      <c r="A102" s="8"/>
      <c r="G102" s="11"/>
      <c r="H102" s="11"/>
      <c r="I102" s="12"/>
    </row>
    <row r="103" spans="1:9">
      <c r="A103" s="8"/>
      <c r="G103" s="11"/>
      <c r="H103" s="11"/>
      <c r="I103" s="12"/>
    </row>
    <row r="104" spans="1:9">
      <c r="A104" s="8"/>
      <c r="G104" s="11"/>
      <c r="H104" s="11"/>
      <c r="I104" s="12"/>
    </row>
    <row r="105" spans="1:9">
      <c r="A105" s="8"/>
      <c r="G105" s="11"/>
      <c r="H105" s="11"/>
      <c r="I105" s="12"/>
    </row>
    <row r="106" spans="1:9">
      <c r="A106" s="8"/>
      <c r="G106" s="11"/>
      <c r="H106" s="11"/>
      <c r="I106" s="12"/>
    </row>
    <row r="107" spans="1:9">
      <c r="A107" s="8"/>
      <c r="G107" s="11"/>
      <c r="H107" s="11"/>
      <c r="I107" s="12"/>
    </row>
    <row r="108" spans="1:9">
      <c r="A108" s="8"/>
      <c r="G108" s="11"/>
      <c r="H108" s="11"/>
      <c r="I108" s="12"/>
    </row>
    <row r="109" spans="1:9">
      <c r="A109" s="8"/>
      <c r="G109" s="11"/>
      <c r="H109" s="11"/>
      <c r="I109" s="12"/>
    </row>
    <row r="110" spans="1:9">
      <c r="A110" s="8"/>
      <c r="G110" s="11"/>
      <c r="H110" s="11"/>
      <c r="I110" s="12"/>
    </row>
    <row r="111" spans="1:9">
      <c r="A111" s="8"/>
      <c r="G111" s="11"/>
      <c r="H111" s="11"/>
      <c r="I111" s="12"/>
    </row>
    <row r="112" spans="1:9">
      <c r="A112" s="8"/>
      <c r="G112" s="11"/>
      <c r="H112" s="11"/>
      <c r="I112" s="12"/>
    </row>
    <row r="113" spans="1:9">
      <c r="A113" s="8"/>
      <c r="G113" s="11"/>
      <c r="H113" s="11"/>
      <c r="I113" s="12"/>
    </row>
    <row r="114" spans="1:9">
      <c r="A114" s="8"/>
      <c r="G114" s="11"/>
      <c r="H114" s="11"/>
      <c r="I114" s="12"/>
    </row>
    <row r="115" spans="1:9">
      <c r="A115" s="8"/>
      <c r="G115" s="11"/>
      <c r="H115" s="11"/>
      <c r="I115" s="12"/>
    </row>
    <row r="116" spans="1:9">
      <c r="A116" s="8"/>
      <c r="G116" s="11"/>
      <c r="H116" s="11"/>
      <c r="I116" s="12"/>
    </row>
    <row r="117" spans="1:9">
      <c r="A117" s="8"/>
      <c r="G117" s="11"/>
      <c r="H117" s="11"/>
      <c r="I117" s="12"/>
    </row>
    <row r="118" spans="1:9">
      <c r="A118" s="8"/>
      <c r="G118" s="11"/>
      <c r="H118" s="11"/>
      <c r="I118" s="12"/>
    </row>
    <row r="119" spans="1:9">
      <c r="A119" s="8"/>
      <c r="G119" s="11"/>
      <c r="H119" s="11"/>
      <c r="I119" s="12"/>
    </row>
    <row r="120" spans="1:9">
      <c r="A120" s="8"/>
      <c r="G120" s="11"/>
      <c r="H120" s="11"/>
      <c r="I120" s="12"/>
    </row>
    <row r="121" spans="1:9">
      <c r="A121" s="8"/>
      <c r="G121" s="11"/>
      <c r="H121" s="11"/>
      <c r="I121" s="12"/>
    </row>
    <row r="122" spans="1:9">
      <c r="A122" s="8"/>
      <c r="G122" s="11"/>
      <c r="H122" s="11"/>
      <c r="I122" s="12"/>
    </row>
    <row r="123" spans="1:9">
      <c r="A123" s="8"/>
      <c r="G123" s="11"/>
      <c r="H123" s="11"/>
      <c r="I123" s="12"/>
    </row>
    <row r="124" spans="1:9">
      <c r="A124" s="8"/>
      <c r="G124" s="11"/>
      <c r="H124" s="11"/>
      <c r="I124" s="12"/>
    </row>
    <row r="125" spans="1:9">
      <c r="A125" s="8"/>
      <c r="G125" s="11"/>
      <c r="H125" s="11"/>
      <c r="I125" s="12"/>
    </row>
    <row r="126" spans="1:9">
      <c r="A126" s="8"/>
      <c r="G126" s="11"/>
      <c r="H126" s="11"/>
      <c r="I126" s="12"/>
    </row>
    <row r="127" spans="1:9">
      <c r="A127" s="8"/>
      <c r="G127" s="11"/>
      <c r="H127" s="11"/>
      <c r="I127" s="12"/>
    </row>
    <row r="128" spans="1:9">
      <c r="A128" s="8"/>
      <c r="G128" s="11"/>
      <c r="H128" s="11"/>
      <c r="I128" s="12"/>
    </row>
    <row r="129" spans="1:9">
      <c r="A129" s="8"/>
      <c r="G129" s="11"/>
      <c r="H129" s="11"/>
      <c r="I129" s="12"/>
    </row>
    <row r="130" spans="1:9">
      <c r="A130" s="8"/>
      <c r="G130" s="11"/>
      <c r="H130" s="11"/>
      <c r="I130" s="12"/>
    </row>
    <row r="131" spans="1:9">
      <c r="A131" s="8"/>
      <c r="G131" s="11"/>
      <c r="H131" s="11"/>
      <c r="I131" s="12"/>
    </row>
    <row r="132" spans="1:9">
      <c r="A132" s="8"/>
      <c r="G132" s="11"/>
      <c r="H132" s="11"/>
      <c r="I132" s="12"/>
    </row>
    <row r="133" spans="1:9">
      <c r="A133" s="8"/>
      <c r="G133" s="11"/>
      <c r="H133" s="11"/>
      <c r="I133" s="12"/>
    </row>
    <row r="134" spans="1:9">
      <c r="A134" s="8"/>
      <c r="G134" s="11"/>
      <c r="H134" s="11"/>
      <c r="I134" s="12"/>
    </row>
    <row r="135" spans="1:9">
      <c r="A135" s="8"/>
      <c r="G135" s="11"/>
      <c r="H135" s="11"/>
      <c r="I135" s="12"/>
    </row>
    <row r="136" spans="1:9">
      <c r="A136" s="8"/>
      <c r="G136" s="11"/>
      <c r="H136" s="11"/>
      <c r="I136" s="12"/>
    </row>
    <row r="137" spans="1:9">
      <c r="A137" s="8"/>
      <c r="G137" s="11"/>
      <c r="H137" s="11"/>
      <c r="I137" s="12"/>
    </row>
    <row r="138" spans="1:9">
      <c r="A138" s="8"/>
      <c r="G138" s="11"/>
      <c r="H138" s="11"/>
      <c r="I138" s="12"/>
    </row>
    <row r="139" spans="1:9">
      <c r="A139" s="8"/>
      <c r="G139" s="11"/>
      <c r="H139" s="11"/>
      <c r="I139" s="12"/>
    </row>
    <row r="140" spans="1:9">
      <c r="A140" s="8"/>
      <c r="G140" s="11"/>
      <c r="H140" s="11"/>
      <c r="I140" s="12"/>
    </row>
    <row r="141" spans="1:9">
      <c r="A141" s="8"/>
      <c r="G141" s="11"/>
      <c r="H141" s="11"/>
      <c r="I141" s="12"/>
    </row>
    <row r="142" spans="1:9">
      <c r="A142" s="8"/>
      <c r="G142" s="11"/>
      <c r="H142" s="11"/>
      <c r="I142" s="12"/>
    </row>
    <row r="143" spans="1:9">
      <c r="A143" s="8"/>
      <c r="G143" s="11"/>
      <c r="H143" s="11"/>
      <c r="I143" s="12"/>
    </row>
    <row r="144" spans="1:9">
      <c r="A144" s="8"/>
      <c r="G144" s="11"/>
      <c r="H144" s="11"/>
      <c r="I144" s="12"/>
    </row>
    <row r="145" spans="1:9">
      <c r="A145" s="8"/>
      <c r="G145" s="11"/>
      <c r="H145" s="11"/>
      <c r="I145" s="12"/>
    </row>
    <row r="146" spans="1:9">
      <c r="A146" s="8"/>
      <c r="G146" s="11"/>
      <c r="H146" s="11"/>
      <c r="I146" s="12"/>
    </row>
    <row r="147" spans="1:9">
      <c r="A147" s="8"/>
      <c r="G147" s="11"/>
      <c r="H147" s="11"/>
      <c r="I147" s="12"/>
    </row>
    <row r="148" spans="1:9">
      <c r="A148" s="8"/>
      <c r="G148" s="11"/>
      <c r="H148" s="11"/>
      <c r="I148" s="12"/>
    </row>
    <row r="149" spans="1:9">
      <c r="A149" s="8"/>
      <c r="G149" s="11"/>
      <c r="H149" s="11"/>
      <c r="I149" s="12"/>
    </row>
    <row r="150" spans="1:9">
      <c r="A150" s="8"/>
      <c r="G150" s="11"/>
      <c r="H150" s="11"/>
      <c r="I150" s="12"/>
    </row>
    <row r="151" spans="1:9">
      <c r="A151" s="8"/>
      <c r="G151" s="11"/>
      <c r="H151" s="11"/>
      <c r="I151" s="12"/>
    </row>
    <row r="152" spans="1:9">
      <c r="A152" s="8"/>
      <c r="G152" s="11"/>
      <c r="H152" s="11"/>
      <c r="I152" s="12"/>
    </row>
    <row r="153" spans="1:9">
      <c r="A153" s="8"/>
      <c r="G153" s="11"/>
      <c r="H153" s="11"/>
      <c r="I153" s="12"/>
    </row>
    <row r="154" spans="1:9">
      <c r="A154" s="8"/>
      <c r="G154" s="11"/>
      <c r="H154" s="11"/>
      <c r="I154" s="12"/>
    </row>
    <row r="155" spans="1:9">
      <c r="A155" s="8"/>
      <c r="G155" s="11"/>
      <c r="H155" s="11"/>
      <c r="I155" s="12"/>
    </row>
    <row r="156" spans="1:9">
      <c r="A156" s="8"/>
      <c r="G156" s="11"/>
      <c r="H156" s="11"/>
      <c r="I156" s="12"/>
    </row>
    <row r="157" spans="1:9">
      <c r="A157" s="8"/>
      <c r="G157" s="11"/>
      <c r="H157" s="11"/>
      <c r="I157" s="12"/>
    </row>
    <row r="158" spans="1:9">
      <c r="A158" s="8"/>
      <c r="G158" s="11"/>
      <c r="H158" s="11"/>
      <c r="I158" s="12"/>
    </row>
    <row r="159" spans="1:9">
      <c r="A159" s="8"/>
      <c r="G159" s="11"/>
      <c r="H159" s="11"/>
      <c r="I159" s="12"/>
    </row>
    <row r="160" spans="1:9">
      <c r="A160" s="8"/>
      <c r="G160" s="11"/>
      <c r="H160" s="11"/>
      <c r="I160" s="12"/>
    </row>
    <row r="161" spans="1:9">
      <c r="A161" s="8"/>
      <c r="G161" s="11"/>
      <c r="H161" s="11"/>
      <c r="I161" s="12"/>
    </row>
    <row r="162" spans="1:9">
      <c r="A162" s="8"/>
      <c r="G162" s="11"/>
      <c r="H162" s="11"/>
      <c r="I162" s="12"/>
    </row>
    <row r="163" spans="1:9">
      <c r="A163" s="8"/>
      <c r="G163" s="11"/>
      <c r="H163" s="11"/>
      <c r="I163" s="12"/>
    </row>
    <row r="164" spans="1:9">
      <c r="A164" s="8"/>
      <c r="G164" s="11"/>
      <c r="H164" s="11"/>
      <c r="I164" s="12"/>
    </row>
    <row r="165" spans="1:9">
      <c r="A165" s="8"/>
      <c r="G165" s="11"/>
      <c r="H165" s="11"/>
      <c r="I165" s="12"/>
    </row>
    <row r="166" spans="1:9">
      <c r="A166" s="8"/>
      <c r="G166" s="11"/>
      <c r="H166" s="11"/>
      <c r="I166" s="12"/>
    </row>
    <row r="167" spans="1:9">
      <c r="A167" s="8"/>
      <c r="G167" s="11"/>
      <c r="H167" s="11"/>
      <c r="I167" s="12"/>
    </row>
    <row r="168" spans="1:9">
      <c r="A168" s="8"/>
      <c r="G168" s="11"/>
      <c r="H168" s="11"/>
      <c r="I168" s="12"/>
    </row>
    <row r="169" spans="1:9">
      <c r="A169" s="8"/>
      <c r="G169" s="11"/>
      <c r="H169" s="11"/>
      <c r="I169" s="12"/>
    </row>
    <row r="170" spans="1:9">
      <c r="A170" s="8"/>
      <c r="G170" s="11"/>
      <c r="H170" s="11"/>
      <c r="I170" s="12"/>
    </row>
    <row r="171" spans="1:9">
      <c r="A171" s="8"/>
      <c r="G171" s="11"/>
      <c r="H171" s="11"/>
      <c r="I171" s="12"/>
    </row>
    <row r="172" spans="1:9">
      <c r="A172" s="8"/>
      <c r="G172" s="11"/>
      <c r="H172" s="11"/>
      <c r="I172" s="12"/>
    </row>
    <row r="173" spans="1:9">
      <c r="A173" s="8"/>
      <c r="G173" s="11"/>
      <c r="H173" s="11"/>
      <c r="I173" s="12"/>
    </row>
    <row r="174" spans="1:9">
      <c r="A174" s="8"/>
      <c r="G174" s="11"/>
      <c r="H174" s="11"/>
      <c r="I174" s="12"/>
    </row>
    <row r="175" spans="1:9">
      <c r="A175" s="8"/>
      <c r="G175" s="11"/>
      <c r="H175" s="11"/>
      <c r="I175" s="12"/>
    </row>
    <row r="176" spans="1:9">
      <c r="A176" s="8"/>
      <c r="G176" s="11"/>
      <c r="H176" s="11"/>
      <c r="I176" s="12"/>
    </row>
    <row r="177" spans="1:9">
      <c r="A177" s="8"/>
      <c r="G177" s="11"/>
      <c r="H177" s="11"/>
      <c r="I177" s="12"/>
    </row>
    <row r="178" spans="1:9">
      <c r="A178" s="8"/>
      <c r="G178" s="11"/>
      <c r="H178" s="11"/>
      <c r="I178" s="12"/>
    </row>
    <row r="179" spans="1:9">
      <c r="A179" s="8"/>
      <c r="G179" s="11"/>
      <c r="H179" s="11"/>
      <c r="I179" s="12"/>
    </row>
    <row r="180" spans="1:9">
      <c r="A180" s="8"/>
      <c r="G180" s="11"/>
      <c r="H180" s="11"/>
      <c r="I180" s="12"/>
    </row>
    <row r="181" spans="1:9">
      <c r="A181" s="8"/>
      <c r="G181" s="11"/>
      <c r="H181" s="11"/>
      <c r="I181" s="12"/>
    </row>
    <row r="182" spans="1:9">
      <c r="A182" s="8"/>
      <c r="G182" s="11"/>
      <c r="H182" s="11"/>
      <c r="I182" s="12"/>
    </row>
    <row r="183" spans="1:9">
      <c r="A183" s="8"/>
      <c r="G183" s="11"/>
      <c r="H183" s="11"/>
      <c r="I183" s="12"/>
    </row>
    <row r="184" spans="1:9">
      <c r="A184" s="8"/>
      <c r="G184" s="11"/>
      <c r="H184" s="11"/>
      <c r="I184" s="12"/>
    </row>
    <row r="185" spans="1:9">
      <c r="A185" s="8"/>
      <c r="G185" s="11"/>
      <c r="H185" s="11"/>
      <c r="I185" s="12"/>
    </row>
    <row r="186" spans="1:9">
      <c r="A186" s="8"/>
      <c r="G186" s="11"/>
      <c r="H186" s="11"/>
      <c r="I186" s="12"/>
    </row>
    <row r="187" spans="1:9">
      <c r="A187" s="8"/>
      <c r="G187" s="11"/>
      <c r="H187" s="11"/>
      <c r="I187" s="12"/>
    </row>
    <row r="188" spans="1:9">
      <c r="A188" s="8"/>
      <c r="G188" s="11"/>
      <c r="H188" s="11"/>
      <c r="I188" s="12"/>
    </row>
    <row r="189" spans="1:9">
      <c r="A189" s="8"/>
      <c r="G189" s="11"/>
      <c r="H189" s="11"/>
      <c r="I189" s="12"/>
    </row>
    <row r="190" spans="1:9">
      <c r="A190" s="8"/>
      <c r="G190" s="11"/>
      <c r="H190" s="11"/>
      <c r="I190" s="12"/>
    </row>
    <row r="191" spans="1:9">
      <c r="A191" s="8"/>
      <c r="G191" s="11"/>
      <c r="H191" s="11"/>
      <c r="I191" s="12"/>
    </row>
    <row r="192" spans="1:9">
      <c r="A192" s="8"/>
      <c r="G192" s="11"/>
      <c r="H192" s="11"/>
      <c r="I192" s="12"/>
    </row>
    <row r="193" spans="1:9">
      <c r="A193" s="8"/>
      <c r="G193" s="11"/>
      <c r="H193" s="11"/>
      <c r="I193" s="12"/>
    </row>
    <row r="194" spans="1:9">
      <c r="A194" s="8"/>
      <c r="G194" s="11"/>
      <c r="H194" s="11"/>
      <c r="I194" s="12"/>
    </row>
    <row r="195" spans="1:9">
      <c r="A195" s="8"/>
      <c r="G195" s="11"/>
      <c r="H195" s="11"/>
      <c r="I195" s="12"/>
    </row>
    <row r="196" spans="1:9">
      <c r="A196" s="8"/>
      <c r="G196" s="11"/>
      <c r="H196" s="11"/>
      <c r="I196" s="12"/>
    </row>
    <row r="197" spans="1:9">
      <c r="A197" s="8"/>
      <c r="G197" s="11"/>
      <c r="H197" s="11"/>
      <c r="I197" s="12"/>
    </row>
    <row r="198" spans="1:9">
      <c r="A198" s="8"/>
      <c r="G198" s="11"/>
      <c r="H198" s="11"/>
      <c r="I198" s="12"/>
    </row>
    <row r="199" spans="1:9">
      <c r="A199" s="8"/>
      <c r="G199" s="11"/>
      <c r="H199" s="11"/>
      <c r="I199" s="12"/>
    </row>
    <row r="200" spans="1:9">
      <c r="A200" s="8"/>
      <c r="G200" s="11"/>
      <c r="H200" s="11"/>
      <c r="I200" s="12"/>
    </row>
    <row r="201" spans="1:9">
      <c r="A201" s="8"/>
      <c r="G201" s="11"/>
      <c r="H201" s="11"/>
      <c r="I201" s="12"/>
    </row>
    <row r="202" spans="1:9">
      <c r="A202" s="8"/>
      <c r="G202" s="11"/>
      <c r="H202" s="11"/>
      <c r="I202" s="12"/>
    </row>
    <row r="203" spans="1:9">
      <c r="A203" s="8"/>
      <c r="G203" s="11"/>
      <c r="H203" s="11"/>
      <c r="I203" s="12"/>
    </row>
    <row r="204" spans="1:9">
      <c r="A204" s="8"/>
      <c r="G204" s="11"/>
      <c r="H204" s="11"/>
      <c r="I204" s="12"/>
    </row>
    <row r="205" spans="1:9">
      <c r="A205" s="8"/>
      <c r="G205" s="11"/>
      <c r="H205" s="11"/>
      <c r="I205" s="12"/>
    </row>
    <row r="206" spans="1:9">
      <c r="A206" s="8"/>
      <c r="G206" s="11"/>
      <c r="H206" s="11"/>
      <c r="I206" s="12"/>
    </row>
    <row r="207" spans="1:9">
      <c r="A207" s="8"/>
      <c r="G207" s="11"/>
      <c r="H207" s="11"/>
      <c r="I207" s="12"/>
    </row>
    <row r="208" spans="1:9">
      <c r="A208" s="8"/>
      <c r="G208" s="11"/>
      <c r="H208" s="11"/>
      <c r="I208" s="12"/>
    </row>
    <row r="209" spans="1:9">
      <c r="A209" s="8"/>
      <c r="G209" s="11"/>
      <c r="H209" s="11"/>
      <c r="I209" s="12"/>
    </row>
    <row r="210" spans="1:9">
      <c r="A210" s="8"/>
      <c r="G210" s="11"/>
      <c r="H210" s="11"/>
      <c r="I210" s="12"/>
    </row>
    <row r="211" spans="1:9">
      <c r="A211" s="8"/>
      <c r="G211" s="11"/>
      <c r="H211" s="11"/>
      <c r="I211" s="12"/>
    </row>
    <row r="212" spans="1:9">
      <c r="A212" s="8"/>
      <c r="G212" s="11"/>
      <c r="H212" s="11"/>
      <c r="I212" s="12"/>
    </row>
    <row r="213" spans="1:9">
      <c r="A213" s="8"/>
      <c r="G213" s="11"/>
      <c r="H213" s="11"/>
      <c r="I213" s="12"/>
    </row>
    <row r="214" spans="1:9">
      <c r="A214" s="8"/>
      <c r="G214" s="11"/>
      <c r="H214" s="11"/>
      <c r="I214" s="12"/>
    </row>
    <row r="215" spans="1:9">
      <c r="A215" s="8"/>
      <c r="G215" s="11"/>
      <c r="H215" s="11"/>
      <c r="I215" s="12"/>
    </row>
    <row r="216" spans="1:9">
      <c r="A216" s="8"/>
      <c r="G216" s="11"/>
      <c r="H216" s="11"/>
      <c r="I216" s="12"/>
    </row>
    <row r="217" spans="1:9">
      <c r="A217" s="8"/>
      <c r="G217" s="11"/>
      <c r="H217" s="11"/>
      <c r="I217" s="12"/>
    </row>
    <row r="218" spans="1:9">
      <c r="A218" s="8"/>
      <c r="G218" s="11"/>
      <c r="H218" s="11"/>
      <c r="I218" s="12"/>
    </row>
    <row r="219" spans="1:9">
      <c r="A219" s="8"/>
      <c r="G219" s="11"/>
      <c r="H219" s="11"/>
      <c r="I219" s="12"/>
    </row>
    <row r="220" spans="1:9">
      <c r="A220" s="8"/>
      <c r="G220" s="11"/>
      <c r="H220" s="11"/>
      <c r="I220" s="12"/>
    </row>
    <row r="221" spans="1:9">
      <c r="A221" s="8"/>
      <c r="G221" s="11"/>
      <c r="H221" s="11"/>
      <c r="I221" s="12"/>
    </row>
    <row r="222" spans="1:9">
      <c r="A222" s="8"/>
      <c r="G222" s="11"/>
      <c r="H222" s="11"/>
      <c r="I222" s="12"/>
    </row>
    <row r="223" spans="1:9">
      <c r="A223" s="8"/>
      <c r="G223" s="11"/>
      <c r="H223" s="11"/>
      <c r="I223" s="12"/>
    </row>
    <row r="224" spans="1:9">
      <c r="A224" s="8"/>
      <c r="G224" s="11"/>
      <c r="H224" s="11"/>
      <c r="I224" s="12"/>
    </row>
    <row r="225" spans="1:9">
      <c r="A225" s="8"/>
      <c r="G225" s="11"/>
      <c r="H225" s="11"/>
      <c r="I225" s="12"/>
    </row>
    <row r="226" spans="1:9">
      <c r="A226" s="8"/>
      <c r="G226" s="11"/>
      <c r="H226" s="11"/>
      <c r="I226" s="12"/>
    </row>
    <row r="227" spans="1:9">
      <c r="A227" s="8"/>
      <c r="G227" s="11"/>
      <c r="H227" s="11"/>
      <c r="I227" s="12"/>
    </row>
    <row r="228" spans="1:9">
      <c r="A228" s="8"/>
      <c r="G228" s="11"/>
      <c r="H228" s="11"/>
      <c r="I228" s="12"/>
    </row>
    <row r="229" spans="1:9">
      <c r="A229" s="8"/>
      <c r="G229" s="11"/>
      <c r="H229" s="11"/>
      <c r="I229" s="12"/>
    </row>
    <row r="230" spans="1:9">
      <c r="A230" s="8"/>
      <c r="G230" s="11"/>
      <c r="H230" s="11"/>
      <c r="I230" s="12"/>
    </row>
    <row r="231" spans="1:9">
      <c r="A231" s="8"/>
      <c r="G231" s="11"/>
      <c r="H231" s="11"/>
      <c r="I231" s="12"/>
    </row>
    <row r="232" spans="1:9">
      <c r="A232" s="8"/>
      <c r="G232" s="11"/>
      <c r="H232" s="11"/>
      <c r="I232" s="12"/>
    </row>
    <row r="233" spans="1:9">
      <c r="A233" s="8"/>
      <c r="G233" s="11"/>
      <c r="H233" s="11"/>
      <c r="I233" s="12"/>
    </row>
    <row r="234" spans="1:9">
      <c r="A234" s="8"/>
      <c r="G234" s="11"/>
      <c r="H234" s="11"/>
      <c r="I234" s="12"/>
    </row>
    <row r="235" spans="1:9">
      <c r="A235" s="8"/>
      <c r="G235" s="11"/>
      <c r="H235" s="11"/>
      <c r="I235" s="12"/>
    </row>
    <row r="236" spans="1:9">
      <c r="A236" s="8"/>
      <c r="G236" s="11"/>
      <c r="H236" s="11"/>
      <c r="I236" s="12"/>
    </row>
    <row r="237" spans="1:9">
      <c r="A237" s="8"/>
      <c r="G237" s="11"/>
      <c r="H237" s="11"/>
      <c r="I237" s="12"/>
    </row>
    <row r="238" spans="1:9">
      <c r="A238" s="8"/>
      <c r="G238" s="11"/>
      <c r="H238" s="11"/>
      <c r="I238" s="12"/>
    </row>
    <row r="239" spans="1:9">
      <c r="A239" s="8"/>
      <c r="G239" s="11"/>
      <c r="H239" s="11"/>
      <c r="I239" s="12"/>
    </row>
    <row r="240" spans="1:9">
      <c r="A240" s="8"/>
      <c r="G240" s="11"/>
      <c r="H240" s="11"/>
      <c r="I240" s="12"/>
    </row>
    <row r="241" spans="1:9">
      <c r="A241" s="8"/>
      <c r="G241" s="11"/>
      <c r="H241" s="11"/>
      <c r="I241" s="12"/>
    </row>
    <row r="242" spans="1:9">
      <c r="A242" s="8"/>
      <c r="G242" s="11"/>
      <c r="H242" s="11"/>
      <c r="I242" s="12"/>
    </row>
    <row r="243" spans="1:9">
      <c r="A243" s="8"/>
      <c r="G243" s="11"/>
      <c r="H243" s="11"/>
      <c r="I243" s="12"/>
    </row>
    <row r="244" spans="1:9">
      <c r="A244" s="8"/>
      <c r="G244" s="11"/>
      <c r="H244" s="11"/>
      <c r="I244" s="12"/>
    </row>
    <row r="245" spans="1:9">
      <c r="A245" s="8"/>
      <c r="G245" s="11"/>
      <c r="H245" s="11"/>
      <c r="I245" s="12"/>
    </row>
    <row r="246" spans="1:9">
      <c r="A246" s="8"/>
      <c r="G246" s="11"/>
      <c r="H246" s="11"/>
      <c r="I246" s="12"/>
    </row>
    <row r="247" spans="1:9">
      <c r="A247" s="8"/>
      <c r="G247" s="11"/>
      <c r="H247" s="11"/>
      <c r="I247" s="12"/>
    </row>
    <row r="248" spans="1:9">
      <c r="A248" s="8"/>
      <c r="G248" s="11"/>
      <c r="H248" s="11"/>
      <c r="I248" s="12"/>
    </row>
    <row r="249" spans="1:9">
      <c r="A249" s="8"/>
      <c r="G249" s="11"/>
      <c r="H249" s="11"/>
      <c r="I249" s="12"/>
    </row>
    <row r="250" spans="1:9">
      <c r="A250" s="8"/>
      <c r="G250" s="11"/>
      <c r="H250" s="11"/>
      <c r="I250" s="12"/>
    </row>
    <row r="251" spans="1:9">
      <c r="A251" s="8"/>
      <c r="G251" s="11"/>
      <c r="H251" s="11"/>
      <c r="I251" s="12"/>
    </row>
    <row r="252" spans="1:9">
      <c r="A252" s="8"/>
      <c r="G252" s="11"/>
      <c r="H252" s="11"/>
      <c r="I252" s="12"/>
    </row>
    <row r="253" spans="1:9">
      <c r="A253" s="8"/>
      <c r="G253" s="11"/>
      <c r="H253" s="11"/>
      <c r="I253" s="12"/>
    </row>
    <row r="254" spans="1:9">
      <c r="A254" s="8"/>
      <c r="G254" s="11"/>
      <c r="H254" s="11"/>
      <c r="I254" s="12"/>
    </row>
    <row r="255" spans="1:9">
      <c r="A255" s="8"/>
      <c r="G255" s="11"/>
      <c r="H255" s="11"/>
      <c r="I255" s="12"/>
    </row>
    <row r="256" spans="1:9">
      <c r="A256" s="8"/>
      <c r="G256" s="11"/>
      <c r="H256" s="11"/>
      <c r="I256" s="12"/>
    </row>
    <row r="257" spans="1:9">
      <c r="A257" s="8"/>
      <c r="G257" s="11"/>
      <c r="H257" s="11"/>
      <c r="I257" s="12"/>
    </row>
    <row r="258" spans="1:9">
      <c r="A258" s="8"/>
      <c r="G258" s="11"/>
      <c r="H258" s="11"/>
      <c r="I258" s="12"/>
    </row>
    <row r="259" spans="1:9">
      <c r="A259" s="8"/>
      <c r="G259" s="11"/>
      <c r="H259" s="11"/>
      <c r="I259" s="12"/>
    </row>
    <row r="260" spans="1:9">
      <c r="A260" s="8"/>
      <c r="G260" s="11"/>
      <c r="H260" s="11"/>
      <c r="I260" s="12"/>
    </row>
    <row r="261" spans="1:9">
      <c r="A261" s="8"/>
      <c r="G261" s="11"/>
      <c r="H261" s="11"/>
      <c r="I261" s="12"/>
    </row>
    <row r="262" spans="1:9">
      <c r="A262" s="8"/>
      <c r="G262" s="11"/>
      <c r="H262" s="11"/>
      <c r="I262" s="12"/>
    </row>
    <row r="263" spans="1:9">
      <c r="A263" s="8"/>
      <c r="G263" s="11"/>
      <c r="H263" s="11"/>
      <c r="I263" s="12"/>
    </row>
    <row r="264" spans="1:9">
      <c r="A264" s="8"/>
      <c r="G264" s="11"/>
      <c r="H264" s="11"/>
      <c r="I264" s="12"/>
    </row>
    <row r="265" spans="1:9">
      <c r="A265" s="8"/>
      <c r="G265" s="11"/>
      <c r="H265" s="11"/>
      <c r="I265" s="12"/>
    </row>
    <row r="266" spans="1:9">
      <c r="A266" s="8"/>
      <c r="G266" s="11"/>
      <c r="H266" s="11"/>
      <c r="I266" s="12"/>
    </row>
    <row r="267" spans="1:9">
      <c r="A267" s="8"/>
      <c r="G267" s="11"/>
      <c r="H267" s="11"/>
      <c r="I267" s="12"/>
    </row>
    <row r="268" spans="1:9">
      <c r="A268" s="8"/>
      <c r="G268" s="11"/>
      <c r="H268" s="11"/>
      <c r="I268" s="12"/>
    </row>
    <row r="269" spans="1:9">
      <c r="A269" s="8"/>
      <c r="G269" s="11"/>
      <c r="H269" s="11"/>
      <c r="I269" s="12"/>
    </row>
    <row r="270" spans="1:9">
      <c r="A270" s="8"/>
      <c r="G270" s="11"/>
      <c r="H270" s="11"/>
      <c r="I270" s="12"/>
    </row>
    <row r="271" spans="1:9">
      <c r="A271" s="8"/>
      <c r="G271" s="11"/>
      <c r="H271" s="11"/>
      <c r="I271" s="12"/>
    </row>
    <row r="272" spans="1:9">
      <c r="A272" s="8"/>
      <c r="G272" s="11"/>
      <c r="H272" s="11"/>
      <c r="I272" s="12"/>
    </row>
    <row r="273" spans="1:9">
      <c r="A273" s="8"/>
      <c r="G273" s="11"/>
      <c r="H273" s="11"/>
      <c r="I273" s="12"/>
    </row>
    <row r="274" spans="1:9">
      <c r="A274" s="8"/>
      <c r="G274" s="11"/>
      <c r="H274" s="11"/>
      <c r="I274" s="12"/>
    </row>
    <row r="275" spans="1:9">
      <c r="A275" s="8"/>
      <c r="G275" s="11"/>
      <c r="H275" s="11"/>
      <c r="I275" s="12"/>
    </row>
    <row r="276" spans="1:9">
      <c r="A276" s="8"/>
      <c r="G276" s="11"/>
      <c r="H276" s="11"/>
      <c r="I276" s="12"/>
    </row>
    <row r="277" spans="1:9">
      <c r="A277" s="8"/>
      <c r="G277" s="11"/>
      <c r="H277" s="11"/>
      <c r="I277" s="12"/>
    </row>
    <row r="278" spans="1:9">
      <c r="A278" s="8"/>
      <c r="G278" s="11"/>
      <c r="H278" s="11"/>
      <c r="I278" s="12"/>
    </row>
    <row r="279" spans="1:9">
      <c r="A279" s="8"/>
      <c r="G279" s="11"/>
      <c r="H279" s="11"/>
      <c r="I279" s="12"/>
    </row>
    <row r="280" spans="1:9">
      <c r="A280" s="8"/>
      <c r="G280" s="11"/>
      <c r="H280" s="11"/>
      <c r="I280" s="12"/>
    </row>
    <row r="281" spans="1:9">
      <c r="A281" s="8"/>
      <c r="G281" s="11"/>
      <c r="H281" s="11"/>
      <c r="I281" s="12"/>
    </row>
    <row r="282" spans="1:9">
      <c r="A282" s="8"/>
      <c r="G282" s="11"/>
      <c r="H282" s="11"/>
      <c r="I282" s="12"/>
    </row>
    <row r="283" spans="1:9">
      <c r="A283" s="8"/>
      <c r="G283" s="11"/>
      <c r="H283" s="11"/>
      <c r="I283" s="12"/>
    </row>
    <row r="284" spans="1:9">
      <c r="A284" s="8"/>
      <c r="G284" s="11"/>
      <c r="H284" s="11"/>
      <c r="I284" s="12"/>
    </row>
    <row r="285" spans="1:9">
      <c r="A285" s="8"/>
      <c r="G285" s="11"/>
      <c r="H285" s="11"/>
      <c r="I285" s="12"/>
    </row>
    <row r="286" spans="1:9">
      <c r="A286" s="8"/>
      <c r="G286" s="11"/>
      <c r="H286" s="11"/>
      <c r="I286" s="12"/>
    </row>
    <row r="287" spans="1:9">
      <c r="A287" s="8"/>
      <c r="G287" s="11"/>
      <c r="H287" s="11"/>
      <c r="I287" s="12"/>
    </row>
    <row r="288" spans="1:9">
      <c r="A288" s="8"/>
      <c r="G288" s="11"/>
      <c r="H288" s="11"/>
      <c r="I288" s="12"/>
    </row>
    <row r="289" spans="1:9">
      <c r="A289" s="8"/>
      <c r="G289" s="11"/>
      <c r="H289" s="11"/>
      <c r="I289" s="12"/>
    </row>
    <row r="290" spans="1:9">
      <c r="A290" s="8"/>
      <c r="G290" s="11"/>
      <c r="H290" s="11"/>
      <c r="I290" s="12"/>
    </row>
    <row r="291" spans="1:9">
      <c r="A291" s="8"/>
      <c r="G291" s="11"/>
      <c r="H291" s="11"/>
      <c r="I291" s="12"/>
    </row>
    <row r="292" spans="1:9">
      <c r="A292" s="8"/>
      <c r="G292" s="11"/>
      <c r="H292" s="11"/>
      <c r="I292" s="12"/>
    </row>
    <row r="293" spans="1:9">
      <c r="A293" s="8"/>
      <c r="G293" s="11"/>
      <c r="H293" s="11"/>
      <c r="I293" s="12"/>
    </row>
    <row r="294" spans="1:9">
      <c r="A294" s="8"/>
      <c r="G294" s="11"/>
      <c r="H294" s="11"/>
      <c r="I294" s="12"/>
    </row>
    <row r="295" spans="1:9">
      <c r="A295" s="8"/>
      <c r="G295" s="11"/>
      <c r="H295" s="11"/>
      <c r="I295" s="12"/>
    </row>
    <row r="296" spans="1:9">
      <c r="A296" s="8"/>
      <c r="G296" s="11"/>
      <c r="H296" s="11"/>
      <c r="I296" s="12"/>
    </row>
    <row r="297" spans="1:9">
      <c r="A297" s="8"/>
      <c r="G297" s="11"/>
      <c r="H297" s="11"/>
      <c r="I297" s="12"/>
    </row>
    <row r="298" spans="1:9">
      <c r="A298" s="8"/>
      <c r="G298" s="11"/>
      <c r="H298" s="11"/>
      <c r="I298" s="12"/>
    </row>
    <row r="299" spans="1:9">
      <c r="A299" s="8"/>
      <c r="G299" s="11"/>
      <c r="H299" s="11"/>
      <c r="I299" s="12"/>
    </row>
    <row r="300" spans="1:9">
      <c r="A300" s="8"/>
      <c r="G300" s="11"/>
      <c r="H300" s="11"/>
      <c r="I300" s="12"/>
    </row>
    <row r="301" spans="1:9">
      <c r="A301" s="8"/>
      <c r="G301" s="11"/>
      <c r="H301" s="11"/>
      <c r="I301" s="12"/>
    </row>
    <row r="302" spans="1:9">
      <c r="A302" s="8"/>
      <c r="G302" s="11"/>
      <c r="H302" s="11"/>
      <c r="I302" s="12"/>
    </row>
    <row r="303" spans="1:9">
      <c r="A303" s="8"/>
      <c r="G303" s="11"/>
      <c r="H303" s="11"/>
      <c r="I303" s="12"/>
    </row>
    <row r="304" spans="1:9">
      <c r="A304" s="8"/>
      <c r="G304" s="11"/>
      <c r="H304" s="11"/>
      <c r="I304" s="12"/>
    </row>
    <row r="305" spans="1:9">
      <c r="A305" s="8"/>
      <c r="G305" s="11"/>
      <c r="H305" s="11"/>
      <c r="I305" s="12"/>
    </row>
    <row r="306" spans="1:9">
      <c r="A306" s="8"/>
      <c r="G306" s="11"/>
      <c r="H306" s="11"/>
      <c r="I306" s="12"/>
    </row>
    <row r="307" spans="1:9">
      <c r="A307" s="8"/>
      <c r="G307" s="11"/>
      <c r="H307" s="11"/>
      <c r="I307" s="12"/>
    </row>
    <row r="308" spans="1:9">
      <c r="A308" s="8"/>
      <c r="G308" s="11"/>
      <c r="H308" s="11"/>
      <c r="I308" s="12"/>
    </row>
    <row r="309" spans="1:9">
      <c r="A309" s="8"/>
      <c r="G309" s="11"/>
      <c r="H309" s="11"/>
      <c r="I309" s="12"/>
    </row>
    <row r="310" spans="1:9">
      <c r="A310" s="8"/>
      <c r="G310" s="11"/>
      <c r="H310" s="11"/>
      <c r="I310" s="12"/>
    </row>
    <row r="311" spans="1:9">
      <c r="A311" s="8"/>
      <c r="G311" s="11"/>
      <c r="H311" s="11"/>
      <c r="I311" s="12"/>
    </row>
    <row r="312" spans="1:9">
      <c r="A312" s="8"/>
      <c r="G312" s="11"/>
      <c r="H312" s="11"/>
      <c r="I312" s="12"/>
    </row>
    <row r="313" spans="1:9">
      <c r="A313" s="8"/>
      <c r="G313" s="11"/>
      <c r="H313" s="11"/>
      <c r="I313" s="12"/>
    </row>
    <row r="314" spans="1:9">
      <c r="A314" s="8"/>
      <c r="G314" s="11"/>
      <c r="H314" s="11"/>
      <c r="I314" s="12"/>
    </row>
    <row r="315" spans="1:9">
      <c r="A315" s="8"/>
      <c r="G315" s="11"/>
      <c r="H315" s="11"/>
      <c r="I315" s="12"/>
    </row>
    <row r="316" spans="1:9">
      <c r="A316" s="8"/>
      <c r="G316" s="11"/>
      <c r="H316" s="11"/>
      <c r="I316" s="12"/>
    </row>
    <row r="317" spans="1:9">
      <c r="A317" s="8"/>
      <c r="G317" s="11"/>
      <c r="H317" s="11"/>
      <c r="I317" s="12"/>
    </row>
    <row r="318" spans="1:9">
      <c r="A318" s="8"/>
      <c r="G318" s="11"/>
      <c r="H318" s="11"/>
      <c r="I318" s="12"/>
    </row>
    <row r="319" spans="1:9">
      <c r="A319" s="8"/>
      <c r="G319" s="11"/>
      <c r="H319" s="11"/>
      <c r="I319" s="12"/>
    </row>
    <row r="320" spans="1:9">
      <c r="A320" s="8"/>
      <c r="G320" s="11"/>
      <c r="H320" s="11"/>
      <c r="I320" s="12"/>
    </row>
    <row r="321" spans="1:9">
      <c r="A321" s="8"/>
      <c r="G321" s="11"/>
      <c r="H321" s="11"/>
      <c r="I321" s="12"/>
    </row>
    <row r="322" spans="1:9">
      <c r="A322" s="8"/>
      <c r="G322" s="11"/>
      <c r="H322" s="11"/>
      <c r="I322" s="12"/>
    </row>
    <row r="323" spans="1:9">
      <c r="A323" s="8"/>
      <c r="G323" s="11"/>
      <c r="H323" s="11"/>
      <c r="I323" s="12"/>
    </row>
    <row r="324" spans="1:9">
      <c r="A324" s="8"/>
      <c r="G324" s="11"/>
      <c r="H324" s="11"/>
      <c r="I324" s="12"/>
    </row>
    <row r="325" spans="1:9">
      <c r="A325" s="8"/>
      <c r="G325" s="11"/>
      <c r="H325" s="11"/>
      <c r="I325" s="12"/>
    </row>
    <row r="326" spans="1:9">
      <c r="A326" s="8"/>
      <c r="G326" s="11"/>
      <c r="H326" s="11"/>
      <c r="I326" s="12"/>
    </row>
    <row r="327" spans="1:9">
      <c r="A327" s="8"/>
      <c r="G327" s="11"/>
      <c r="H327" s="11"/>
      <c r="I327" s="12"/>
    </row>
    <row r="328" spans="1:9">
      <c r="A328" s="8"/>
      <c r="G328" s="11"/>
      <c r="H328" s="11"/>
      <c r="I328" s="12"/>
    </row>
    <row r="329" spans="1:9">
      <c r="A329" s="8"/>
      <c r="G329" s="11"/>
      <c r="H329" s="11"/>
      <c r="I329" s="12"/>
    </row>
    <row r="330" spans="1:9">
      <c r="A330" s="8"/>
      <c r="G330" s="11"/>
      <c r="H330" s="11"/>
      <c r="I330" s="12"/>
    </row>
    <row r="331" spans="1:9">
      <c r="A331" s="8"/>
      <c r="G331" s="11"/>
      <c r="H331" s="11"/>
      <c r="I331" s="12"/>
    </row>
    <row r="332" spans="1:9">
      <c r="A332" s="8"/>
      <c r="G332" s="11"/>
      <c r="H332" s="11"/>
      <c r="I332" s="12"/>
    </row>
    <row r="333" spans="1:9">
      <c r="A333" s="8"/>
      <c r="G333" s="11"/>
      <c r="H333" s="11"/>
      <c r="I333" s="12"/>
    </row>
    <row r="334" spans="1:9">
      <c r="A334" s="8"/>
      <c r="G334" s="11"/>
      <c r="H334" s="11"/>
      <c r="I334" s="12"/>
    </row>
    <row r="335" spans="1:9">
      <c r="A335" s="8"/>
      <c r="G335" s="11"/>
      <c r="H335" s="11"/>
      <c r="I335" s="12"/>
    </row>
    <row r="336" spans="1:9">
      <c r="A336" s="8"/>
      <c r="G336" s="11"/>
      <c r="H336" s="11"/>
      <c r="I336" s="12"/>
    </row>
    <row r="337" spans="1:9">
      <c r="A337" s="8"/>
      <c r="G337" s="11"/>
      <c r="H337" s="11"/>
      <c r="I337" s="12"/>
    </row>
    <row r="338" spans="1:9">
      <c r="A338" s="8"/>
      <c r="G338" s="11"/>
      <c r="H338" s="11"/>
      <c r="I338" s="12"/>
    </row>
    <row r="339" spans="1:9">
      <c r="A339" s="8"/>
      <c r="G339" s="11"/>
      <c r="H339" s="11"/>
      <c r="I339" s="12"/>
    </row>
    <row r="340" spans="1:9">
      <c r="A340" s="8"/>
      <c r="G340" s="11"/>
      <c r="H340" s="11"/>
      <c r="I340" s="12"/>
    </row>
    <row r="341" spans="1:9">
      <c r="A341" s="8"/>
      <c r="G341" s="11"/>
      <c r="H341" s="11"/>
      <c r="I341" s="12"/>
    </row>
    <row r="342" spans="1:9">
      <c r="A342" s="8"/>
      <c r="G342" s="11"/>
      <c r="H342" s="11"/>
      <c r="I342" s="12"/>
    </row>
    <row r="343" spans="1:9">
      <c r="A343" s="8"/>
      <c r="G343" s="11"/>
      <c r="H343" s="11"/>
      <c r="I343" s="12"/>
    </row>
    <row r="344" spans="1:9">
      <c r="A344" s="8"/>
      <c r="G344" s="11"/>
      <c r="H344" s="11"/>
      <c r="I344" s="12"/>
    </row>
    <row r="345" spans="1:9">
      <c r="A345" s="8"/>
      <c r="G345" s="11"/>
      <c r="H345" s="11"/>
      <c r="I345" s="12"/>
    </row>
    <row r="346" spans="1:9">
      <c r="A346" s="8"/>
      <c r="G346" s="11"/>
      <c r="H346" s="11"/>
      <c r="I346" s="12"/>
    </row>
    <row r="347" spans="1:9">
      <c r="A347" s="8"/>
      <c r="G347" s="11"/>
      <c r="H347" s="11"/>
      <c r="I347" s="12"/>
    </row>
    <row r="348" spans="1:9">
      <c r="A348" s="8"/>
      <c r="G348" s="11"/>
      <c r="H348" s="11"/>
      <c r="I348" s="12"/>
    </row>
    <row r="349" spans="1:9">
      <c r="A349" s="8"/>
      <c r="G349" s="11"/>
      <c r="H349" s="11"/>
      <c r="I349" s="12"/>
    </row>
    <row r="350" spans="1:9">
      <c r="A350" s="8"/>
      <c r="G350" s="11"/>
      <c r="H350" s="11"/>
      <c r="I350" s="12"/>
    </row>
    <row r="351" spans="1:9">
      <c r="A351" s="8"/>
      <c r="G351" s="11"/>
      <c r="H351" s="11"/>
      <c r="I351" s="12"/>
    </row>
    <row r="352" spans="1:9">
      <c r="A352" s="8"/>
      <c r="G352" s="11"/>
      <c r="H352" s="11"/>
      <c r="I352" s="12"/>
    </row>
    <row r="353" spans="1:9">
      <c r="A353" s="8"/>
      <c r="G353" s="11"/>
      <c r="H353" s="11"/>
      <c r="I353" s="12"/>
    </row>
    <row r="354" spans="1:9">
      <c r="A354" s="8"/>
      <c r="G354" s="11"/>
      <c r="H354" s="11"/>
      <c r="I354" s="12"/>
    </row>
    <row r="355" spans="1:9">
      <c r="A355" s="8"/>
      <c r="G355" s="11"/>
      <c r="H355" s="11"/>
      <c r="I355" s="12"/>
    </row>
    <row r="356" spans="1:9">
      <c r="A356" s="8"/>
      <c r="G356" s="11"/>
      <c r="H356" s="11"/>
      <c r="I356" s="12"/>
    </row>
    <row r="357" spans="1:9">
      <c r="A357" s="8"/>
      <c r="G357" s="11"/>
      <c r="H357" s="11"/>
      <c r="I357" s="12"/>
    </row>
    <row r="358" spans="1:9">
      <c r="A358" s="8"/>
      <c r="G358" s="11"/>
      <c r="H358" s="11"/>
      <c r="I358" s="12"/>
    </row>
    <row r="359" spans="1:9">
      <c r="A359" s="8"/>
      <c r="G359" s="11"/>
      <c r="H359" s="11"/>
      <c r="I359" s="12"/>
    </row>
    <row r="360" spans="1:9">
      <c r="A360" s="8"/>
      <c r="G360" s="11"/>
      <c r="H360" s="11"/>
      <c r="I360" s="12"/>
    </row>
    <row r="361" spans="1:9">
      <c r="A361" s="8"/>
      <c r="G361" s="11"/>
      <c r="H361" s="11"/>
      <c r="I361" s="12"/>
    </row>
    <row r="362" spans="1:9">
      <c r="A362" s="8"/>
      <c r="G362" s="11"/>
      <c r="H362" s="11"/>
      <c r="I362" s="12"/>
    </row>
    <row r="363" spans="1:9">
      <c r="A363" s="8"/>
      <c r="G363" s="11"/>
      <c r="H363" s="11"/>
      <c r="I363" s="12"/>
    </row>
    <row r="364" spans="1:9">
      <c r="A364" s="8"/>
      <c r="G364" s="11"/>
      <c r="H364" s="11"/>
      <c r="I364" s="12"/>
    </row>
    <row r="365" spans="1:9">
      <c r="A365" s="8"/>
      <c r="G365" s="11"/>
      <c r="H365" s="11"/>
      <c r="I365" s="12"/>
    </row>
    <row r="366" spans="1:9">
      <c r="A366" s="8"/>
      <c r="G366" s="11"/>
      <c r="H366" s="11"/>
      <c r="I366" s="12"/>
    </row>
    <row r="367" spans="1:9">
      <c r="A367" s="8"/>
      <c r="G367" s="11"/>
      <c r="H367" s="11"/>
      <c r="I367" s="12"/>
    </row>
    <row r="368" spans="1:9">
      <c r="A368" s="8"/>
      <c r="G368" s="11"/>
      <c r="H368" s="11"/>
      <c r="I368" s="12"/>
    </row>
    <row r="369" spans="1:9">
      <c r="A369" s="8"/>
      <c r="G369" s="11"/>
      <c r="H369" s="11"/>
      <c r="I369" s="12"/>
    </row>
    <row r="370" spans="1:9">
      <c r="A370" s="8"/>
      <c r="G370" s="11"/>
      <c r="H370" s="11"/>
      <c r="I370" s="12"/>
    </row>
    <row r="371" spans="1:9">
      <c r="A371" s="8"/>
      <c r="G371" s="11"/>
      <c r="H371" s="11"/>
      <c r="I371" s="12"/>
    </row>
    <row r="372" spans="1:9">
      <c r="A372" s="8"/>
      <c r="G372" s="11"/>
      <c r="H372" s="11"/>
      <c r="I372" s="12"/>
    </row>
    <row r="373" spans="1:9">
      <c r="A373" s="8"/>
      <c r="G373" s="11"/>
      <c r="H373" s="11"/>
      <c r="I373" s="12"/>
    </row>
    <row r="374" spans="1:9">
      <c r="A374" s="8"/>
      <c r="G374" s="11"/>
      <c r="H374" s="11"/>
      <c r="I374" s="12"/>
    </row>
    <row r="375" spans="1:9">
      <c r="A375" s="8"/>
      <c r="G375" s="11"/>
      <c r="H375" s="11"/>
      <c r="I375" s="12"/>
    </row>
    <row r="376" spans="1:9">
      <c r="A376" s="8"/>
      <c r="G376" s="11"/>
      <c r="H376" s="11"/>
      <c r="I376" s="12"/>
    </row>
    <row r="377" spans="1:9">
      <c r="A377" s="8"/>
      <c r="G377" s="11"/>
      <c r="H377" s="11"/>
      <c r="I377" s="12"/>
    </row>
    <row r="378" spans="1:9">
      <c r="A378" s="8"/>
      <c r="G378" s="11"/>
      <c r="H378" s="11"/>
      <c r="I378" s="12"/>
    </row>
    <row r="379" spans="1:9">
      <c r="A379" s="8"/>
      <c r="G379" s="11"/>
      <c r="H379" s="11"/>
      <c r="I379" s="12"/>
    </row>
    <row r="380" spans="1:9">
      <c r="A380" s="8"/>
      <c r="G380" s="11"/>
      <c r="H380" s="11"/>
      <c r="I380" s="12"/>
    </row>
    <row r="381" spans="1:9">
      <c r="A381" s="8"/>
      <c r="G381" s="11"/>
      <c r="H381" s="11"/>
      <c r="I381" s="12"/>
    </row>
    <row r="382" spans="1:9">
      <c r="A382" s="8"/>
      <c r="G382" s="11"/>
      <c r="H382" s="11"/>
      <c r="I382" s="12"/>
    </row>
    <row r="383" spans="1:9">
      <c r="A383" s="8"/>
      <c r="G383" s="11"/>
      <c r="H383" s="11"/>
      <c r="I383" s="12"/>
    </row>
    <row r="384" spans="1:9">
      <c r="A384" s="8"/>
      <c r="G384" s="11"/>
      <c r="H384" s="11"/>
      <c r="I384" s="12"/>
    </row>
    <row r="385" spans="1:9">
      <c r="A385" s="8"/>
      <c r="G385" s="11"/>
      <c r="H385" s="11"/>
      <c r="I385" s="12"/>
    </row>
    <row r="386" spans="1:9">
      <c r="A386" s="8"/>
      <c r="G386" s="11"/>
      <c r="H386" s="11"/>
      <c r="I386" s="12"/>
    </row>
    <row r="387" spans="1:9">
      <c r="A387" s="8"/>
      <c r="G387" s="11"/>
      <c r="H387" s="11"/>
      <c r="I387" s="12"/>
    </row>
    <row r="388" spans="1:9">
      <c r="A388" s="8"/>
      <c r="G388" s="11"/>
      <c r="H388" s="11"/>
      <c r="I388" s="12"/>
    </row>
    <row r="389" spans="1:9">
      <c r="A389" s="8"/>
      <c r="G389" s="11"/>
      <c r="H389" s="11"/>
      <c r="I389" s="12"/>
    </row>
    <row r="390" spans="1:9">
      <c r="A390" s="8"/>
      <c r="G390" s="11"/>
      <c r="H390" s="11"/>
      <c r="I390" s="12"/>
    </row>
    <row r="391" spans="1:9">
      <c r="A391" s="8"/>
      <c r="G391" s="11"/>
      <c r="H391" s="11"/>
      <c r="I391" s="12"/>
    </row>
    <row r="392" spans="1:9">
      <c r="A392" s="8"/>
      <c r="G392" s="11"/>
      <c r="H392" s="11"/>
      <c r="I392" s="12"/>
    </row>
    <row r="393" spans="1:9">
      <c r="A393" s="8"/>
      <c r="G393" s="11"/>
      <c r="H393" s="11"/>
      <c r="I393" s="12"/>
    </row>
    <row r="394" spans="1:9">
      <c r="A394" s="8"/>
      <c r="G394" s="11"/>
      <c r="H394" s="11"/>
      <c r="I394" s="12"/>
    </row>
    <row r="395" spans="1:9">
      <c r="A395" s="8"/>
      <c r="G395" s="11"/>
      <c r="H395" s="11"/>
      <c r="I395" s="12"/>
    </row>
    <row r="396" spans="1:9">
      <c r="A396" s="8"/>
      <c r="G396" s="11"/>
      <c r="H396" s="11"/>
      <c r="I396" s="12"/>
    </row>
    <row r="397" spans="1:9">
      <c r="A397" s="8"/>
      <c r="G397" s="11"/>
      <c r="H397" s="11"/>
      <c r="I397" s="12"/>
    </row>
    <row r="398" spans="1:9">
      <c r="A398" s="8"/>
      <c r="G398" s="11"/>
      <c r="H398" s="11"/>
      <c r="I398" s="12"/>
    </row>
    <row r="399" spans="1:9">
      <c r="A399" s="8"/>
      <c r="G399" s="11"/>
      <c r="H399" s="11"/>
      <c r="I399" s="12"/>
    </row>
    <row r="400" spans="1:9">
      <c r="A400" s="8"/>
      <c r="G400" s="11"/>
      <c r="H400" s="11"/>
      <c r="I400" s="12"/>
    </row>
    <row r="401" spans="1:9">
      <c r="A401" s="8"/>
      <c r="G401" s="11"/>
      <c r="H401" s="11"/>
      <c r="I401" s="12"/>
    </row>
    <row r="402" spans="1:9">
      <c r="A402" s="8"/>
      <c r="G402" s="11"/>
      <c r="H402" s="11"/>
      <c r="I402" s="12"/>
    </row>
    <row r="403" spans="1:9">
      <c r="A403" s="8"/>
      <c r="G403" s="11"/>
      <c r="H403" s="11"/>
      <c r="I403" s="12"/>
    </row>
    <row r="404" spans="1:9">
      <c r="A404" s="8"/>
      <c r="G404" s="11"/>
      <c r="H404" s="11"/>
      <c r="I404" s="12"/>
    </row>
    <row r="405" spans="1:9">
      <c r="A405" s="8"/>
      <c r="G405" s="11"/>
      <c r="H405" s="11"/>
      <c r="I405" s="12"/>
    </row>
    <row r="406" spans="1:9">
      <c r="A406" s="8"/>
      <c r="G406" s="11"/>
      <c r="H406" s="11"/>
      <c r="I406" s="12"/>
    </row>
    <row r="407" spans="1:9">
      <c r="A407" s="8"/>
      <c r="G407" s="11"/>
      <c r="H407" s="11"/>
      <c r="I407" s="12"/>
    </row>
    <row r="408" spans="1:9">
      <c r="A408" s="8"/>
      <c r="G408" s="11"/>
      <c r="H408" s="11"/>
      <c r="I408" s="12"/>
    </row>
    <row r="409" spans="1:9">
      <c r="A409" s="8"/>
      <c r="G409" s="11"/>
      <c r="H409" s="11"/>
      <c r="I409" s="12"/>
    </row>
    <row r="410" spans="1:9">
      <c r="A410" s="8"/>
      <c r="G410" s="11"/>
      <c r="H410" s="11"/>
      <c r="I410" s="12"/>
    </row>
    <row r="411" spans="1:9">
      <c r="A411" s="8"/>
      <c r="G411" s="11"/>
      <c r="H411" s="11"/>
      <c r="I411" s="12"/>
    </row>
    <row r="412" spans="1:9">
      <c r="A412" s="8"/>
      <c r="G412" s="11"/>
      <c r="H412" s="11"/>
      <c r="I412" s="12"/>
    </row>
    <row r="413" spans="1:9">
      <c r="A413" s="8"/>
      <c r="G413" s="11"/>
      <c r="H413" s="11"/>
      <c r="I413" s="12"/>
    </row>
    <row r="414" spans="1:9">
      <c r="A414" s="8"/>
      <c r="G414" s="11"/>
      <c r="H414" s="11"/>
      <c r="I414" s="12"/>
    </row>
    <row r="415" spans="1:9">
      <c r="A415" s="8"/>
      <c r="G415" s="11"/>
      <c r="H415" s="11"/>
      <c r="I415" s="12"/>
    </row>
    <row r="416" spans="1:9">
      <c r="A416" s="8"/>
      <c r="G416" s="11"/>
      <c r="H416" s="11"/>
      <c r="I416" s="12"/>
    </row>
    <row r="417" spans="1:9">
      <c r="A417" s="8"/>
      <c r="G417" s="11"/>
      <c r="H417" s="11"/>
      <c r="I417" s="12"/>
    </row>
    <row r="418" spans="1:9">
      <c r="A418" s="8"/>
      <c r="G418" s="11"/>
      <c r="H418" s="11"/>
      <c r="I418" s="12"/>
    </row>
    <row r="419" spans="1:9">
      <c r="A419" s="8"/>
      <c r="G419" s="11"/>
      <c r="H419" s="11"/>
      <c r="I419" s="12"/>
    </row>
    <row r="420" spans="1:9">
      <c r="A420" s="8"/>
      <c r="G420" s="11"/>
      <c r="H420" s="11"/>
      <c r="I420" s="12"/>
    </row>
    <row r="421" spans="1:9">
      <c r="A421" s="8"/>
      <c r="G421" s="11"/>
      <c r="H421" s="11"/>
      <c r="I421" s="12"/>
    </row>
    <row r="422" spans="1:9">
      <c r="A422" s="8"/>
      <c r="G422" s="11"/>
      <c r="H422" s="11"/>
      <c r="I422" s="12"/>
    </row>
    <row r="423" spans="1:9">
      <c r="A423" s="8"/>
      <c r="G423" s="11"/>
      <c r="H423" s="11"/>
      <c r="I423" s="12"/>
    </row>
    <row r="424" spans="1:9">
      <c r="A424" s="8"/>
      <c r="G424" s="11"/>
      <c r="H424" s="11"/>
      <c r="I424" s="12"/>
    </row>
    <row r="425" spans="1:9">
      <c r="A425" s="8"/>
      <c r="G425" s="11"/>
      <c r="H425" s="11"/>
      <c r="I425" s="12"/>
    </row>
    <row r="426" spans="1:9">
      <c r="A426" s="8"/>
      <c r="G426" s="11"/>
      <c r="H426" s="11"/>
      <c r="I426" s="12"/>
    </row>
    <row r="427" spans="1:9">
      <c r="A427" s="8"/>
      <c r="G427" s="11"/>
      <c r="H427" s="11"/>
      <c r="I427" s="12"/>
    </row>
    <row r="428" spans="1:9">
      <c r="A428" s="8"/>
      <c r="G428" s="11"/>
      <c r="H428" s="11"/>
      <c r="I428" s="12"/>
    </row>
    <row r="429" spans="1:9">
      <c r="A429" s="8"/>
      <c r="G429" s="11"/>
      <c r="H429" s="11"/>
      <c r="I429" s="12"/>
    </row>
    <row r="430" spans="1:9">
      <c r="A430" s="8"/>
      <c r="G430" s="11"/>
      <c r="H430" s="11"/>
      <c r="I430" s="12"/>
    </row>
    <row r="431" spans="1:9">
      <c r="A431" s="8"/>
      <c r="G431" s="11"/>
      <c r="H431" s="11"/>
      <c r="I431" s="12"/>
    </row>
    <row r="432" spans="1:9">
      <c r="A432" s="8"/>
      <c r="G432" s="11"/>
      <c r="H432" s="11"/>
      <c r="I432" s="12"/>
    </row>
    <row r="433" spans="1:9">
      <c r="A433" s="8"/>
      <c r="G433" s="11"/>
      <c r="H433" s="11"/>
      <c r="I433" s="12"/>
    </row>
    <row r="434" spans="1:9">
      <c r="A434" s="8"/>
      <c r="G434" s="11"/>
      <c r="H434" s="11"/>
      <c r="I434" s="12"/>
    </row>
    <row r="435" spans="1:9">
      <c r="A435" s="8"/>
      <c r="G435" s="11"/>
      <c r="H435" s="11"/>
      <c r="I435" s="12"/>
    </row>
    <row r="436" spans="1:9">
      <c r="A436" s="8"/>
      <c r="G436" s="11"/>
      <c r="H436" s="11"/>
      <c r="I436" s="12"/>
    </row>
    <row r="437" spans="1:9">
      <c r="A437" s="8"/>
      <c r="G437" s="11"/>
      <c r="H437" s="11"/>
      <c r="I437" s="12"/>
    </row>
    <row r="438" spans="1:9">
      <c r="A438" s="8"/>
      <c r="G438" s="11"/>
      <c r="H438" s="11"/>
      <c r="I438" s="12"/>
    </row>
    <row r="439" spans="1:9">
      <c r="A439" s="8"/>
      <c r="G439" s="11"/>
      <c r="H439" s="11"/>
      <c r="I439" s="12"/>
    </row>
    <row r="440" spans="1:9">
      <c r="A440" s="8"/>
      <c r="G440" s="11"/>
      <c r="H440" s="11"/>
      <c r="I440" s="12"/>
    </row>
    <row r="441" spans="1:9">
      <c r="A441" s="8"/>
      <c r="G441" s="11"/>
      <c r="H441" s="11"/>
      <c r="I441" s="12"/>
    </row>
    <row r="442" spans="1:9">
      <c r="A442" s="8"/>
      <c r="G442" s="11"/>
      <c r="H442" s="11"/>
      <c r="I442" s="12"/>
    </row>
    <row r="443" spans="1:9">
      <c r="A443" s="8"/>
      <c r="G443" s="11"/>
      <c r="H443" s="11"/>
      <c r="I443" s="12"/>
    </row>
    <row r="444" spans="1:9">
      <c r="A444" s="8"/>
      <c r="G444" s="11"/>
      <c r="H444" s="11"/>
      <c r="I444" s="12"/>
    </row>
    <row r="445" spans="1:9">
      <c r="A445" s="8"/>
      <c r="G445" s="11"/>
      <c r="H445" s="11"/>
      <c r="I445" s="12"/>
    </row>
    <row r="446" spans="1:9">
      <c r="A446" s="8"/>
      <c r="G446" s="11"/>
      <c r="H446" s="11"/>
      <c r="I446" s="12"/>
    </row>
    <row r="447" spans="1:9">
      <c r="A447" s="8"/>
      <c r="G447" s="11"/>
      <c r="H447" s="11"/>
      <c r="I447" s="12"/>
    </row>
    <row r="448" spans="1:9">
      <c r="A448" s="8"/>
      <c r="G448" s="11"/>
      <c r="H448" s="11"/>
      <c r="I448" s="12"/>
    </row>
    <row r="449" spans="1:9">
      <c r="A449" s="8"/>
      <c r="G449" s="11"/>
      <c r="H449" s="11"/>
      <c r="I449" s="12"/>
    </row>
    <row r="450" spans="1:9">
      <c r="A450" s="8"/>
      <c r="G450" s="11"/>
      <c r="H450" s="11"/>
      <c r="I450" s="12"/>
    </row>
    <row r="451" spans="1:9">
      <c r="A451" s="8"/>
      <c r="G451" s="11"/>
      <c r="H451" s="11"/>
      <c r="I451" s="12"/>
    </row>
    <row r="452" spans="1:9">
      <c r="A452" s="8"/>
      <c r="G452" s="11"/>
      <c r="H452" s="11"/>
      <c r="I452" s="12"/>
    </row>
    <row r="453" spans="1:9">
      <c r="A453" s="8"/>
      <c r="G453" s="11"/>
      <c r="H453" s="11"/>
      <c r="I453" s="12"/>
    </row>
    <row r="454" spans="1:9">
      <c r="A454" s="8"/>
      <c r="G454" s="11"/>
      <c r="H454" s="11"/>
      <c r="I454" s="12"/>
    </row>
    <row r="455" spans="1:9">
      <c r="A455" s="8"/>
      <c r="G455" s="11"/>
      <c r="H455" s="11"/>
      <c r="I455" s="12"/>
    </row>
    <row r="456" spans="1:9">
      <c r="A456" s="8"/>
      <c r="G456" s="11"/>
      <c r="H456" s="11"/>
      <c r="I456" s="12"/>
    </row>
    <row r="457" spans="1:9">
      <c r="A457" s="8"/>
      <c r="G457" s="11"/>
      <c r="H457" s="11"/>
      <c r="I457" s="12"/>
    </row>
    <row r="458" spans="1:9">
      <c r="A458" s="8"/>
      <c r="G458" s="11"/>
      <c r="H458" s="11"/>
      <c r="I458" s="12"/>
    </row>
    <row r="459" spans="1:9">
      <c r="A459" s="8"/>
      <c r="G459" s="11"/>
      <c r="H459" s="11"/>
      <c r="I459" s="12"/>
    </row>
    <row r="460" spans="1:9">
      <c r="A460" s="8"/>
      <c r="G460" s="11"/>
      <c r="H460" s="11"/>
      <c r="I460" s="12"/>
    </row>
    <row r="461" spans="1:9">
      <c r="A461" s="8"/>
      <c r="G461" s="11"/>
      <c r="H461" s="11"/>
      <c r="I461" s="12"/>
    </row>
    <row r="462" spans="1:9">
      <c r="A462" s="8"/>
      <c r="G462" s="11"/>
      <c r="H462" s="11"/>
      <c r="I462" s="12"/>
    </row>
    <row r="463" spans="1:9">
      <c r="A463" s="8"/>
      <c r="G463" s="11"/>
      <c r="H463" s="11"/>
      <c r="I463" s="12"/>
    </row>
    <row r="464" spans="1:9">
      <c r="A464" s="8"/>
      <c r="G464" s="11"/>
      <c r="H464" s="11"/>
      <c r="I464" s="12"/>
    </row>
    <row r="465" spans="1:9">
      <c r="A465" s="8"/>
      <c r="G465" s="11"/>
      <c r="H465" s="11"/>
      <c r="I465" s="12"/>
    </row>
    <row r="466" spans="1:9">
      <c r="A466" s="8"/>
      <c r="G466" s="11"/>
      <c r="H466" s="11"/>
      <c r="I466" s="12"/>
    </row>
    <row r="467" spans="1:9">
      <c r="A467" s="8"/>
      <c r="G467" s="11"/>
      <c r="H467" s="11"/>
      <c r="I467" s="12"/>
    </row>
    <row r="468" spans="1:9">
      <c r="A468" s="8"/>
      <c r="G468" s="11"/>
      <c r="H468" s="11"/>
      <c r="I468" s="12"/>
    </row>
    <row r="469" spans="1:9">
      <c r="A469" s="8"/>
      <c r="G469" s="11"/>
      <c r="H469" s="11"/>
      <c r="I469" s="12"/>
    </row>
    <row r="470" spans="1:9">
      <c r="A470" s="8"/>
      <c r="G470" s="11"/>
      <c r="H470" s="11"/>
      <c r="I470" s="12"/>
    </row>
    <row r="471" spans="1:9">
      <c r="A471" s="8"/>
      <c r="G471" s="11"/>
      <c r="H471" s="11"/>
      <c r="I471" s="12"/>
    </row>
    <row r="472" spans="1:9">
      <c r="A472" s="8"/>
      <c r="G472" s="11"/>
      <c r="H472" s="11"/>
      <c r="I472" s="12"/>
    </row>
    <row r="473" spans="1:9">
      <c r="A473" s="8"/>
      <c r="G473" s="11"/>
      <c r="H473" s="11"/>
      <c r="I473" s="12"/>
    </row>
    <row r="474" spans="1:9">
      <c r="A474" s="8"/>
      <c r="G474" s="11"/>
      <c r="H474" s="11"/>
      <c r="I474" s="12"/>
    </row>
    <row r="475" spans="1:9">
      <c r="A475" s="8"/>
      <c r="G475" s="11"/>
      <c r="H475" s="11"/>
      <c r="I475" s="12"/>
    </row>
    <row r="476" spans="1:9">
      <c r="A476" s="8"/>
      <c r="G476" s="11"/>
      <c r="H476" s="11"/>
      <c r="I476" s="12"/>
    </row>
    <row r="477" spans="1:9">
      <c r="A477" s="8"/>
      <c r="G477" s="11"/>
      <c r="H477" s="11"/>
      <c r="I477" s="12"/>
    </row>
    <row r="478" spans="1:9">
      <c r="A478" s="8"/>
      <c r="G478" s="11"/>
      <c r="H478" s="11"/>
      <c r="I478" s="12"/>
    </row>
    <row r="479" spans="1:9">
      <c r="A479" s="8"/>
      <c r="G479" s="11"/>
      <c r="H479" s="11"/>
      <c r="I479" s="12"/>
    </row>
    <row r="480" spans="1:9">
      <c r="A480" s="8"/>
      <c r="G480" s="11"/>
      <c r="H480" s="11"/>
      <c r="I480" s="12"/>
    </row>
    <row r="481" spans="1:9">
      <c r="A481" s="8"/>
      <c r="G481" s="11"/>
      <c r="H481" s="11"/>
      <c r="I481" s="12"/>
    </row>
    <row r="482" spans="1:9">
      <c r="A482" s="8"/>
      <c r="G482" s="11"/>
      <c r="H482" s="11"/>
      <c r="I482" s="12"/>
    </row>
    <row r="483" spans="1:9">
      <c r="A483" s="8"/>
      <c r="G483" s="11"/>
      <c r="H483" s="11"/>
      <c r="I483" s="12"/>
    </row>
    <row r="484" spans="1:9">
      <c r="A484" s="8"/>
      <c r="G484" s="11"/>
      <c r="H484" s="11"/>
      <c r="I484" s="12"/>
    </row>
    <row r="485" spans="1:9">
      <c r="A485" s="8"/>
      <c r="G485" s="11"/>
      <c r="H485" s="11"/>
      <c r="I485" s="12"/>
    </row>
    <row r="486" spans="1:9">
      <c r="A486" s="8"/>
      <c r="G486" s="11"/>
      <c r="H486" s="11"/>
      <c r="I486" s="12"/>
    </row>
    <row r="487" spans="1:9">
      <c r="A487" s="8"/>
      <c r="G487" s="11"/>
      <c r="H487" s="11"/>
      <c r="I487" s="12"/>
    </row>
    <row r="488" spans="1:9">
      <c r="A488" s="8"/>
      <c r="G488" s="11"/>
      <c r="H488" s="11"/>
      <c r="I488" s="12"/>
    </row>
    <row r="489" spans="1:9">
      <c r="A489" s="8"/>
      <c r="G489" s="11"/>
      <c r="H489" s="11"/>
      <c r="I489" s="12"/>
    </row>
    <row r="490" spans="1:9">
      <c r="A490" s="8"/>
      <c r="G490" s="11"/>
      <c r="H490" s="11"/>
      <c r="I490" s="12"/>
    </row>
    <row r="491" spans="1:9">
      <c r="A491" s="8"/>
      <c r="G491" s="11"/>
      <c r="H491" s="11"/>
      <c r="I491" s="12"/>
    </row>
    <row r="492" spans="1:9">
      <c r="A492" s="8"/>
      <c r="G492" s="11"/>
      <c r="H492" s="11"/>
      <c r="I492" s="12"/>
    </row>
    <row r="493" spans="1:9">
      <c r="A493" s="8"/>
      <c r="G493" s="11"/>
      <c r="H493" s="11"/>
      <c r="I493" s="12"/>
    </row>
    <row r="494" spans="1:9">
      <c r="A494" s="8"/>
      <c r="G494" s="11"/>
      <c r="H494" s="11"/>
      <c r="I494" s="12"/>
    </row>
    <row r="495" spans="1:9">
      <c r="A495" s="8"/>
      <c r="G495" s="11"/>
      <c r="H495" s="11"/>
      <c r="I495" s="12"/>
    </row>
    <row r="496" spans="1:9">
      <c r="A496" s="8"/>
      <c r="G496" s="11"/>
      <c r="H496" s="11"/>
      <c r="I496" s="12"/>
    </row>
    <row r="497" spans="1:9">
      <c r="A497" s="8"/>
      <c r="G497" s="11"/>
      <c r="H497" s="11"/>
      <c r="I497" s="12"/>
    </row>
    <row r="498" spans="1:9">
      <c r="A498" s="8"/>
      <c r="G498" s="11"/>
      <c r="H498" s="11"/>
      <c r="I498" s="12"/>
    </row>
    <row r="499" spans="1:9">
      <c r="A499" s="8"/>
      <c r="G499" s="11"/>
      <c r="H499" s="11"/>
      <c r="I499" s="12"/>
    </row>
    <row r="500" spans="1:9">
      <c r="A500" s="8"/>
      <c r="G500" s="11"/>
      <c r="H500" s="11"/>
      <c r="I500" s="12"/>
    </row>
  </sheetData>
  <conditionalFormatting sqref="J2:J500">
    <cfRule type="expression" dxfId="56" priority="1">
      <formula>$J2="Cerrada"</formula>
    </cfRule>
    <cfRule type="expression" dxfId="55" priority="2">
      <formula>$J2="Vigente"</formula>
    </cfRule>
    <cfRule type="expression" dxfId="54" priority="3">
      <formula>$J2="Cumple"</formula>
    </cfRule>
    <cfRule type="expression" dxfId="53" priority="4">
      <formula>$J2="Pendiente"</formula>
    </cfRule>
    <cfRule type="expression" dxfId="52" priority="5">
      <formula>$J2="En proceso"</formula>
    </cfRule>
    <cfRule type="expression" dxfId="51" priority="6">
      <formula>$J2="Vencida"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00"/>
  <sheetViews>
    <sheetView workbookViewId="0"/>
  </sheetViews>
  <sheetFormatPr baseColWidth="10" defaultColWidth="8.6640625" defaultRowHeight="14"/>
  <cols>
    <col min="1" max="1" width="9.25" customWidth="1"/>
    <col min="2" max="2" width="11.75" customWidth="1"/>
    <col min="3" max="3" width="14.5" customWidth="1"/>
    <col min="4" max="4" width="8.4140625" customWidth="1"/>
    <col min="5" max="5" width="33.1640625" customWidth="1"/>
    <col min="6" max="6" width="33.33203125" customWidth="1"/>
    <col min="7" max="7" width="10.9140625" customWidth="1"/>
    <col min="8" max="8" width="9.75" customWidth="1"/>
    <col min="9" max="9" width="17.75" customWidth="1"/>
  </cols>
  <sheetData>
    <row r="1" spans="1:9" ht="15.15" customHeight="1">
      <c r="A1" s="5" t="s">
        <v>0</v>
      </c>
      <c r="B1" s="5" t="s">
        <v>1</v>
      </c>
      <c r="C1" s="5" t="s">
        <v>138</v>
      </c>
      <c r="D1" s="5" t="s">
        <v>61</v>
      </c>
      <c r="E1" s="5" t="s">
        <v>139</v>
      </c>
      <c r="F1" s="5" t="s">
        <v>140</v>
      </c>
      <c r="G1" s="5" t="s">
        <v>8</v>
      </c>
      <c r="H1" s="5" t="s">
        <v>9</v>
      </c>
      <c r="I1" s="5" t="s">
        <v>114</v>
      </c>
    </row>
    <row r="2" spans="1:9" ht="17.75" customHeight="1">
      <c r="A2" s="20">
        <v>46206</v>
      </c>
      <c r="B2" s="21" t="s">
        <v>16</v>
      </c>
      <c r="C2" s="21" t="s">
        <v>7</v>
      </c>
      <c r="D2" s="21" t="s">
        <v>75</v>
      </c>
      <c r="E2" s="21" t="s">
        <v>141</v>
      </c>
      <c r="F2" s="21" t="s">
        <v>142</v>
      </c>
      <c r="G2" s="21" t="s">
        <v>143</v>
      </c>
      <c r="H2" s="21" t="s">
        <v>73</v>
      </c>
      <c r="I2" s="21" t="s">
        <v>144</v>
      </c>
    </row>
    <row r="3" spans="1:9" ht="17.75" customHeight="1">
      <c r="A3" s="20">
        <v>46209</v>
      </c>
      <c r="B3" s="21" t="s">
        <v>11</v>
      </c>
      <c r="C3" s="21" t="s">
        <v>74</v>
      </c>
      <c r="D3" s="21" t="s">
        <v>82</v>
      </c>
      <c r="E3" s="21" t="s">
        <v>145</v>
      </c>
      <c r="F3" s="21" t="s">
        <v>146</v>
      </c>
      <c r="G3" s="21" t="s">
        <v>118</v>
      </c>
      <c r="H3" s="21" t="s">
        <v>66</v>
      </c>
      <c r="I3" s="21" t="s">
        <v>147</v>
      </c>
    </row>
    <row r="4" spans="1:9" ht="17.75" customHeight="1">
      <c r="A4" s="20">
        <v>46210</v>
      </c>
      <c r="B4" s="21" t="s">
        <v>14</v>
      </c>
      <c r="C4" s="21" t="s">
        <v>7</v>
      </c>
      <c r="D4" s="21" t="s">
        <v>67</v>
      </c>
      <c r="E4" s="21" t="s">
        <v>148</v>
      </c>
      <c r="F4" s="21" t="s">
        <v>149</v>
      </c>
      <c r="G4" s="21" t="s">
        <v>150</v>
      </c>
      <c r="H4" s="21" t="s">
        <v>13</v>
      </c>
      <c r="I4" s="21" t="s">
        <v>151</v>
      </c>
    </row>
    <row r="5" spans="1:9" ht="17.75" customHeight="1">
      <c r="A5" s="20">
        <v>46212</v>
      </c>
      <c r="B5" s="21" t="s">
        <v>18</v>
      </c>
      <c r="C5" s="21" t="s">
        <v>81</v>
      </c>
      <c r="D5" s="21" t="s">
        <v>75</v>
      </c>
      <c r="E5" s="21" t="s">
        <v>152</v>
      </c>
      <c r="F5" s="21" t="s">
        <v>153</v>
      </c>
      <c r="G5" s="21" t="s">
        <v>143</v>
      </c>
      <c r="H5" s="21" t="s">
        <v>73</v>
      </c>
      <c r="I5" s="21" t="s">
        <v>154</v>
      </c>
    </row>
    <row r="6" spans="1:9" ht="17.75" customHeight="1">
      <c r="A6" s="20">
        <v>46214</v>
      </c>
      <c r="B6" s="21" t="s">
        <v>21</v>
      </c>
      <c r="C6" s="21" t="s">
        <v>7</v>
      </c>
      <c r="D6" s="21" t="s">
        <v>82</v>
      </c>
      <c r="E6" s="21" t="s">
        <v>155</v>
      </c>
      <c r="F6" s="21" t="s">
        <v>156</v>
      </c>
      <c r="G6" s="21" t="s">
        <v>157</v>
      </c>
      <c r="H6" s="21" t="s">
        <v>66</v>
      </c>
      <c r="I6" s="21" t="s">
        <v>158</v>
      </c>
    </row>
    <row r="7" spans="1:9">
      <c r="A7" s="19"/>
      <c r="B7" s="16"/>
      <c r="C7" s="16"/>
      <c r="D7" s="16"/>
      <c r="E7" s="16"/>
      <c r="F7" s="16"/>
      <c r="G7" s="16"/>
      <c r="H7" s="16"/>
      <c r="I7" s="16"/>
    </row>
    <row r="8" spans="1:9">
      <c r="A8" s="19"/>
      <c r="B8" s="16"/>
      <c r="C8" s="16"/>
      <c r="D8" s="16"/>
      <c r="E8" s="16"/>
      <c r="F8" s="16"/>
      <c r="G8" s="16"/>
      <c r="H8" s="16"/>
      <c r="I8" s="16"/>
    </row>
    <row r="9" spans="1:9">
      <c r="A9" s="19"/>
      <c r="B9" s="16"/>
      <c r="C9" s="16"/>
      <c r="D9" s="16"/>
      <c r="E9" s="16"/>
      <c r="F9" s="16"/>
      <c r="G9" s="16"/>
      <c r="H9" s="16"/>
      <c r="I9" s="16"/>
    </row>
    <row r="10" spans="1:9">
      <c r="A10" s="19"/>
      <c r="B10" s="16"/>
      <c r="C10" s="16"/>
      <c r="D10" s="16"/>
      <c r="E10" s="16"/>
      <c r="F10" s="16"/>
      <c r="G10" s="16"/>
      <c r="H10" s="16"/>
      <c r="I10" s="16"/>
    </row>
    <row r="11" spans="1:9">
      <c r="A11" s="19"/>
      <c r="B11" s="16"/>
      <c r="C11" s="16"/>
      <c r="D11" s="16"/>
      <c r="E11" s="16"/>
      <c r="F11" s="16"/>
      <c r="G11" s="16"/>
      <c r="H11" s="16"/>
      <c r="I11" s="16"/>
    </row>
    <row r="12" spans="1:9">
      <c r="A12" s="19"/>
      <c r="B12" s="16"/>
      <c r="C12" s="16"/>
      <c r="D12" s="16"/>
      <c r="E12" s="16"/>
      <c r="F12" s="16"/>
      <c r="G12" s="16"/>
      <c r="H12" s="16"/>
      <c r="I12" s="16"/>
    </row>
    <row r="13" spans="1:9">
      <c r="A13" s="19"/>
      <c r="B13" s="16"/>
      <c r="C13" s="16"/>
      <c r="D13" s="16"/>
      <c r="E13" s="16"/>
      <c r="F13" s="16"/>
      <c r="G13" s="16"/>
      <c r="H13" s="16"/>
      <c r="I13" s="16"/>
    </row>
    <row r="14" spans="1:9">
      <c r="A14" s="19"/>
      <c r="B14" s="16"/>
      <c r="C14" s="16"/>
      <c r="D14" s="16"/>
      <c r="E14" s="16"/>
      <c r="F14" s="16"/>
      <c r="G14" s="16"/>
      <c r="H14" s="16"/>
      <c r="I14" s="16"/>
    </row>
    <row r="15" spans="1:9">
      <c r="A15" s="19"/>
      <c r="B15" s="16"/>
      <c r="C15" s="16"/>
      <c r="D15" s="16"/>
      <c r="E15" s="16"/>
      <c r="F15" s="16"/>
      <c r="G15" s="16"/>
      <c r="H15" s="16"/>
      <c r="I15" s="16"/>
    </row>
    <row r="16" spans="1:9">
      <c r="A16" s="19"/>
      <c r="B16" s="16"/>
      <c r="C16" s="16"/>
      <c r="D16" s="16"/>
      <c r="E16" s="16"/>
      <c r="F16" s="16"/>
      <c r="G16" s="16"/>
      <c r="H16" s="16"/>
      <c r="I16" s="16"/>
    </row>
    <row r="17" spans="1:9">
      <c r="A17" s="19"/>
      <c r="B17" s="16"/>
      <c r="C17" s="16"/>
      <c r="D17" s="16"/>
      <c r="E17" s="16"/>
      <c r="F17" s="16"/>
      <c r="G17" s="16"/>
      <c r="H17" s="16"/>
      <c r="I17" s="16"/>
    </row>
    <row r="18" spans="1:9">
      <c r="A18" s="19"/>
      <c r="B18" s="16"/>
      <c r="C18" s="16"/>
      <c r="D18" s="16"/>
      <c r="E18" s="16"/>
      <c r="F18" s="16"/>
      <c r="G18" s="16"/>
      <c r="H18" s="16"/>
      <c r="I18" s="16"/>
    </row>
    <row r="19" spans="1:9">
      <c r="A19" s="19"/>
      <c r="B19" s="16"/>
      <c r="C19" s="16"/>
      <c r="D19" s="16"/>
      <c r="E19" s="16"/>
      <c r="F19" s="16"/>
      <c r="G19" s="16"/>
      <c r="H19" s="16"/>
      <c r="I19" s="16"/>
    </row>
    <row r="20" spans="1:9">
      <c r="A20" s="19"/>
      <c r="B20" s="16"/>
      <c r="C20" s="16"/>
      <c r="D20" s="16"/>
      <c r="E20" s="16"/>
      <c r="F20" s="16"/>
      <c r="G20" s="16"/>
      <c r="H20" s="16"/>
      <c r="I20" s="16"/>
    </row>
    <row r="21" spans="1:9">
      <c r="A21" s="19"/>
      <c r="B21" s="16"/>
      <c r="C21" s="16"/>
      <c r="D21" s="16"/>
      <c r="E21" s="16"/>
      <c r="F21" s="16"/>
      <c r="G21" s="16"/>
      <c r="H21" s="16"/>
      <c r="I21" s="16"/>
    </row>
    <row r="22" spans="1:9">
      <c r="A22" s="19"/>
      <c r="B22" s="16"/>
      <c r="C22" s="16"/>
      <c r="D22" s="16"/>
      <c r="E22" s="16"/>
      <c r="F22" s="16"/>
      <c r="G22" s="16"/>
      <c r="H22" s="16"/>
      <c r="I22" s="16"/>
    </row>
    <row r="23" spans="1:9">
      <c r="A23" s="19"/>
      <c r="B23" s="16"/>
      <c r="C23" s="16"/>
      <c r="D23" s="16"/>
      <c r="E23" s="16"/>
      <c r="F23" s="16"/>
      <c r="G23" s="16"/>
      <c r="H23" s="16"/>
      <c r="I23" s="16"/>
    </row>
    <row r="24" spans="1:9">
      <c r="A24" s="19"/>
      <c r="B24" s="16"/>
      <c r="C24" s="16"/>
      <c r="D24" s="16"/>
      <c r="E24" s="16"/>
      <c r="F24" s="16"/>
      <c r="G24" s="16"/>
      <c r="H24" s="16"/>
      <c r="I24" s="16"/>
    </row>
    <row r="25" spans="1:9">
      <c r="A25" s="19"/>
      <c r="B25" s="16"/>
      <c r="C25" s="16"/>
      <c r="D25" s="16"/>
      <c r="E25" s="16"/>
      <c r="F25" s="16"/>
      <c r="G25" s="16"/>
      <c r="H25" s="16"/>
      <c r="I25" s="16"/>
    </row>
    <row r="26" spans="1:9">
      <c r="A26" s="19"/>
      <c r="B26" s="16"/>
      <c r="C26" s="16"/>
      <c r="D26" s="16"/>
      <c r="E26" s="16"/>
      <c r="F26" s="16"/>
      <c r="G26" s="16"/>
      <c r="H26" s="16"/>
      <c r="I26" s="16"/>
    </row>
    <row r="27" spans="1:9">
      <c r="A27" s="19"/>
      <c r="B27" s="16"/>
      <c r="C27" s="16"/>
      <c r="D27" s="16"/>
      <c r="E27" s="16"/>
      <c r="F27" s="16"/>
      <c r="G27" s="16"/>
      <c r="H27" s="16"/>
      <c r="I27" s="16"/>
    </row>
    <row r="28" spans="1:9">
      <c r="A28" s="19"/>
      <c r="B28" s="16"/>
      <c r="C28" s="16"/>
      <c r="D28" s="16"/>
      <c r="E28" s="16"/>
      <c r="F28" s="16"/>
      <c r="G28" s="16"/>
      <c r="H28" s="16"/>
      <c r="I28" s="16"/>
    </row>
    <row r="29" spans="1:9">
      <c r="A29" s="19"/>
      <c r="B29" s="16"/>
      <c r="C29" s="16"/>
      <c r="D29" s="16"/>
      <c r="E29" s="16"/>
      <c r="F29" s="16"/>
      <c r="G29" s="16"/>
      <c r="H29" s="16"/>
      <c r="I29" s="16"/>
    </row>
    <row r="30" spans="1:9">
      <c r="A30" s="19"/>
      <c r="B30" s="16"/>
      <c r="C30" s="16"/>
      <c r="D30" s="16"/>
      <c r="E30" s="16"/>
      <c r="F30" s="16"/>
      <c r="G30" s="16"/>
      <c r="H30" s="16"/>
      <c r="I30" s="16"/>
    </row>
    <row r="31" spans="1:9">
      <c r="A31" s="19"/>
      <c r="B31" s="16"/>
      <c r="C31" s="16"/>
      <c r="D31" s="16"/>
      <c r="E31" s="16"/>
      <c r="F31" s="16"/>
      <c r="G31" s="16"/>
      <c r="H31" s="16"/>
      <c r="I31" s="16"/>
    </row>
    <row r="32" spans="1:9">
      <c r="A32" s="19"/>
      <c r="B32" s="16"/>
      <c r="C32" s="16"/>
      <c r="D32" s="16"/>
      <c r="E32" s="16"/>
      <c r="F32" s="16"/>
      <c r="G32" s="16"/>
      <c r="H32" s="16"/>
      <c r="I32" s="16"/>
    </row>
    <row r="33" spans="1:9">
      <c r="A33" s="19"/>
      <c r="B33" s="16"/>
      <c r="C33" s="16"/>
      <c r="D33" s="16"/>
      <c r="E33" s="16"/>
      <c r="F33" s="16"/>
      <c r="G33" s="16"/>
      <c r="H33" s="16"/>
      <c r="I33" s="16"/>
    </row>
    <row r="34" spans="1:9">
      <c r="A34" s="19"/>
      <c r="B34" s="16"/>
      <c r="C34" s="16"/>
      <c r="D34" s="16"/>
      <c r="E34" s="16"/>
      <c r="F34" s="16"/>
      <c r="G34" s="16"/>
      <c r="H34" s="16"/>
      <c r="I34" s="16"/>
    </row>
    <row r="35" spans="1:9">
      <c r="A35" s="19"/>
      <c r="B35" s="16"/>
      <c r="C35" s="16"/>
      <c r="D35" s="16"/>
      <c r="E35" s="16"/>
      <c r="F35" s="16"/>
      <c r="G35" s="16"/>
      <c r="H35" s="16"/>
      <c r="I35" s="16"/>
    </row>
    <row r="36" spans="1:9">
      <c r="A36" s="19"/>
      <c r="B36" s="16"/>
      <c r="C36" s="16"/>
      <c r="D36" s="16"/>
      <c r="E36" s="16"/>
      <c r="F36" s="16"/>
      <c r="G36" s="16"/>
      <c r="H36" s="16"/>
      <c r="I36" s="16"/>
    </row>
    <row r="37" spans="1:9">
      <c r="A37" s="19"/>
      <c r="B37" s="16"/>
      <c r="C37" s="16"/>
      <c r="D37" s="16"/>
      <c r="E37" s="16"/>
      <c r="F37" s="16"/>
      <c r="G37" s="16"/>
      <c r="H37" s="16"/>
      <c r="I37" s="16"/>
    </row>
    <row r="38" spans="1:9">
      <c r="A38" s="19"/>
      <c r="B38" s="16"/>
      <c r="C38" s="16"/>
      <c r="D38" s="16"/>
      <c r="E38" s="16"/>
      <c r="F38" s="16"/>
      <c r="G38" s="16"/>
      <c r="H38" s="16"/>
      <c r="I38" s="16"/>
    </row>
    <row r="39" spans="1:9">
      <c r="A39" s="19"/>
      <c r="B39" s="16"/>
      <c r="C39" s="16"/>
      <c r="D39" s="16"/>
      <c r="E39" s="16"/>
      <c r="F39" s="16"/>
      <c r="G39" s="16"/>
      <c r="H39" s="16"/>
      <c r="I39" s="16"/>
    </row>
    <row r="40" spans="1:9">
      <c r="A40" s="19"/>
      <c r="B40" s="16"/>
      <c r="C40" s="16"/>
      <c r="D40" s="16"/>
      <c r="E40" s="16"/>
      <c r="F40" s="16"/>
      <c r="G40" s="16"/>
      <c r="H40" s="16"/>
      <c r="I40" s="16"/>
    </row>
    <row r="41" spans="1:9">
      <c r="A41" s="19"/>
      <c r="B41" s="16"/>
      <c r="C41" s="16"/>
      <c r="D41" s="16"/>
      <c r="E41" s="16"/>
      <c r="F41" s="16"/>
      <c r="G41" s="16"/>
      <c r="H41" s="16"/>
      <c r="I41" s="16"/>
    </row>
    <row r="42" spans="1:9">
      <c r="A42" s="19"/>
      <c r="B42" s="16"/>
      <c r="C42" s="16"/>
      <c r="D42" s="16"/>
      <c r="E42" s="16"/>
      <c r="F42" s="16"/>
      <c r="G42" s="16"/>
      <c r="H42" s="16"/>
      <c r="I42" s="16"/>
    </row>
    <row r="43" spans="1:9">
      <c r="A43" s="19"/>
      <c r="B43" s="16"/>
      <c r="C43" s="16"/>
      <c r="D43" s="16"/>
      <c r="E43" s="16"/>
      <c r="F43" s="16"/>
      <c r="G43" s="16"/>
      <c r="H43" s="16"/>
      <c r="I43" s="16"/>
    </row>
    <row r="44" spans="1:9">
      <c r="A44" s="19"/>
      <c r="B44" s="16"/>
      <c r="C44" s="16"/>
      <c r="D44" s="16"/>
      <c r="E44" s="16"/>
      <c r="F44" s="16"/>
      <c r="G44" s="16"/>
      <c r="H44" s="16"/>
      <c r="I44" s="16"/>
    </row>
    <row r="45" spans="1:9">
      <c r="A45" s="19"/>
      <c r="B45" s="16"/>
      <c r="C45" s="16"/>
      <c r="D45" s="16"/>
      <c r="E45" s="16"/>
      <c r="F45" s="16"/>
      <c r="G45" s="16"/>
      <c r="H45" s="16"/>
      <c r="I45" s="16"/>
    </row>
    <row r="46" spans="1:9">
      <c r="A46" s="19"/>
      <c r="B46" s="16"/>
      <c r="C46" s="16"/>
      <c r="D46" s="16"/>
      <c r="E46" s="16"/>
      <c r="F46" s="16"/>
      <c r="G46" s="16"/>
      <c r="H46" s="16"/>
      <c r="I46" s="16"/>
    </row>
    <row r="47" spans="1:9">
      <c r="A47" s="19"/>
      <c r="B47" s="16"/>
      <c r="C47" s="16"/>
      <c r="D47" s="16"/>
      <c r="E47" s="16"/>
      <c r="F47" s="16"/>
      <c r="G47" s="16"/>
      <c r="H47" s="16"/>
      <c r="I47" s="16"/>
    </row>
    <row r="48" spans="1:9">
      <c r="A48" s="19"/>
      <c r="B48" s="16"/>
      <c r="C48" s="16"/>
      <c r="D48" s="16"/>
      <c r="E48" s="16"/>
      <c r="F48" s="16"/>
      <c r="G48" s="16"/>
      <c r="H48" s="16"/>
      <c r="I48" s="16"/>
    </row>
    <row r="49" spans="1:9">
      <c r="A49" s="19"/>
      <c r="B49" s="16"/>
      <c r="C49" s="16"/>
      <c r="D49" s="16"/>
      <c r="E49" s="16"/>
      <c r="F49" s="16"/>
      <c r="G49" s="16"/>
      <c r="H49" s="16"/>
      <c r="I49" s="16"/>
    </row>
    <row r="50" spans="1:9">
      <c r="A50" s="8"/>
    </row>
    <row r="51" spans="1:9">
      <c r="A51" s="8"/>
    </row>
    <row r="52" spans="1:9">
      <c r="A52" s="8"/>
    </row>
    <row r="53" spans="1:9">
      <c r="A53" s="8"/>
    </row>
    <row r="54" spans="1:9">
      <c r="A54" s="8"/>
    </row>
    <row r="55" spans="1:9">
      <c r="A55" s="8"/>
    </row>
    <row r="56" spans="1:9">
      <c r="A56" s="8"/>
    </row>
    <row r="57" spans="1:9">
      <c r="A57" s="8"/>
    </row>
    <row r="58" spans="1:9">
      <c r="A58" s="8"/>
    </row>
    <row r="59" spans="1:9">
      <c r="A59" s="8"/>
    </row>
    <row r="60" spans="1:9">
      <c r="A60" s="8"/>
    </row>
    <row r="61" spans="1:9">
      <c r="A61" s="8"/>
    </row>
    <row r="62" spans="1:9">
      <c r="A62" s="8"/>
    </row>
    <row r="63" spans="1:9">
      <c r="A63" s="8"/>
    </row>
    <row r="64" spans="1:9">
      <c r="A64" s="8"/>
    </row>
    <row r="65" spans="1:1">
      <c r="A65" s="8"/>
    </row>
    <row r="66" spans="1:1">
      <c r="A66" s="8"/>
    </row>
    <row r="67" spans="1:1">
      <c r="A67" s="8"/>
    </row>
    <row r="68" spans="1:1">
      <c r="A68" s="8"/>
    </row>
    <row r="69" spans="1:1">
      <c r="A69" s="8"/>
    </row>
    <row r="70" spans="1:1">
      <c r="A70" s="8"/>
    </row>
    <row r="71" spans="1:1">
      <c r="A71" s="8"/>
    </row>
    <row r="72" spans="1:1">
      <c r="A72" s="8"/>
    </row>
    <row r="73" spans="1:1">
      <c r="A73" s="8"/>
    </row>
    <row r="74" spans="1:1">
      <c r="A74" s="8"/>
    </row>
    <row r="75" spans="1:1">
      <c r="A75" s="8"/>
    </row>
    <row r="76" spans="1:1">
      <c r="A76" s="8"/>
    </row>
    <row r="77" spans="1:1">
      <c r="A77" s="8"/>
    </row>
    <row r="78" spans="1:1">
      <c r="A78" s="8"/>
    </row>
    <row r="79" spans="1:1">
      <c r="A79" s="8"/>
    </row>
    <row r="80" spans="1:1">
      <c r="A80" s="8"/>
    </row>
    <row r="81" spans="1:1">
      <c r="A81" s="8"/>
    </row>
    <row r="82" spans="1:1">
      <c r="A82" s="8"/>
    </row>
    <row r="83" spans="1:1">
      <c r="A83" s="8"/>
    </row>
    <row r="84" spans="1:1">
      <c r="A84" s="8"/>
    </row>
    <row r="85" spans="1:1">
      <c r="A85" s="8"/>
    </row>
    <row r="86" spans="1:1">
      <c r="A86" s="8"/>
    </row>
    <row r="87" spans="1:1">
      <c r="A87" s="8"/>
    </row>
    <row r="88" spans="1:1">
      <c r="A88" s="8"/>
    </row>
    <row r="89" spans="1:1">
      <c r="A89" s="8"/>
    </row>
    <row r="90" spans="1:1">
      <c r="A90" s="8"/>
    </row>
    <row r="91" spans="1:1">
      <c r="A91" s="8"/>
    </row>
    <row r="92" spans="1:1">
      <c r="A92" s="8"/>
    </row>
    <row r="93" spans="1:1">
      <c r="A93" s="8"/>
    </row>
    <row r="94" spans="1:1">
      <c r="A94" s="8"/>
    </row>
    <row r="95" spans="1:1">
      <c r="A95" s="8"/>
    </row>
    <row r="96" spans="1:1">
      <c r="A96" s="8"/>
    </row>
    <row r="97" spans="1:1">
      <c r="A97" s="8"/>
    </row>
    <row r="98" spans="1:1">
      <c r="A98" s="8"/>
    </row>
    <row r="99" spans="1:1">
      <c r="A99" s="8"/>
    </row>
    <row r="100" spans="1:1">
      <c r="A100" s="8"/>
    </row>
    <row r="101" spans="1:1">
      <c r="A101" s="8"/>
    </row>
    <row r="102" spans="1:1">
      <c r="A102" s="8"/>
    </row>
    <row r="103" spans="1:1">
      <c r="A103" s="8"/>
    </row>
    <row r="104" spans="1:1">
      <c r="A104" s="8"/>
    </row>
    <row r="105" spans="1:1">
      <c r="A105" s="8"/>
    </row>
    <row r="106" spans="1:1">
      <c r="A106" s="8"/>
    </row>
    <row r="107" spans="1:1">
      <c r="A107" s="8"/>
    </row>
    <row r="108" spans="1:1">
      <c r="A108" s="8"/>
    </row>
    <row r="109" spans="1:1">
      <c r="A109" s="8"/>
    </row>
    <row r="110" spans="1:1">
      <c r="A110" s="8"/>
    </row>
    <row r="111" spans="1:1">
      <c r="A111" s="8"/>
    </row>
    <row r="112" spans="1:1">
      <c r="A112" s="8"/>
    </row>
    <row r="113" spans="1:1">
      <c r="A113" s="8"/>
    </row>
    <row r="114" spans="1:1">
      <c r="A114" s="8"/>
    </row>
    <row r="115" spans="1:1">
      <c r="A115" s="8"/>
    </row>
    <row r="116" spans="1:1">
      <c r="A116" s="8"/>
    </row>
    <row r="117" spans="1:1">
      <c r="A117" s="8"/>
    </row>
    <row r="118" spans="1:1">
      <c r="A118" s="8"/>
    </row>
    <row r="119" spans="1:1">
      <c r="A119" s="8"/>
    </row>
    <row r="120" spans="1:1">
      <c r="A120" s="8"/>
    </row>
    <row r="121" spans="1:1">
      <c r="A121" s="8"/>
    </row>
    <row r="122" spans="1:1">
      <c r="A122" s="8"/>
    </row>
    <row r="123" spans="1:1">
      <c r="A123" s="8"/>
    </row>
    <row r="124" spans="1:1">
      <c r="A124" s="8"/>
    </row>
    <row r="125" spans="1:1">
      <c r="A125" s="8"/>
    </row>
    <row r="126" spans="1:1">
      <c r="A126" s="8"/>
    </row>
    <row r="127" spans="1:1">
      <c r="A127" s="8"/>
    </row>
    <row r="128" spans="1:1">
      <c r="A128" s="8"/>
    </row>
    <row r="129" spans="1:1">
      <c r="A129" s="8"/>
    </row>
    <row r="130" spans="1:1">
      <c r="A130" s="8"/>
    </row>
    <row r="131" spans="1:1">
      <c r="A131" s="8"/>
    </row>
    <row r="132" spans="1:1">
      <c r="A132" s="8"/>
    </row>
    <row r="133" spans="1:1">
      <c r="A133" s="8"/>
    </row>
    <row r="134" spans="1:1">
      <c r="A134" s="8"/>
    </row>
    <row r="135" spans="1:1">
      <c r="A135" s="8"/>
    </row>
    <row r="136" spans="1:1">
      <c r="A136" s="8"/>
    </row>
    <row r="137" spans="1:1">
      <c r="A137" s="8"/>
    </row>
    <row r="138" spans="1:1">
      <c r="A138" s="8"/>
    </row>
    <row r="139" spans="1:1">
      <c r="A139" s="8"/>
    </row>
    <row r="140" spans="1:1">
      <c r="A140" s="8"/>
    </row>
    <row r="141" spans="1:1">
      <c r="A141" s="8"/>
    </row>
    <row r="142" spans="1:1">
      <c r="A142" s="8"/>
    </row>
    <row r="143" spans="1:1">
      <c r="A143" s="8"/>
    </row>
    <row r="144" spans="1:1">
      <c r="A144" s="8"/>
    </row>
    <row r="145" spans="1:1">
      <c r="A145" s="8"/>
    </row>
    <row r="146" spans="1:1">
      <c r="A146" s="8"/>
    </row>
    <row r="147" spans="1:1">
      <c r="A147" s="8"/>
    </row>
    <row r="148" spans="1:1">
      <c r="A148" s="8"/>
    </row>
    <row r="149" spans="1:1">
      <c r="A149" s="8"/>
    </row>
    <row r="150" spans="1:1">
      <c r="A150" s="8"/>
    </row>
    <row r="151" spans="1:1">
      <c r="A151" s="8"/>
    </row>
    <row r="152" spans="1:1">
      <c r="A152" s="8"/>
    </row>
    <row r="153" spans="1:1">
      <c r="A153" s="8"/>
    </row>
    <row r="154" spans="1:1">
      <c r="A154" s="8"/>
    </row>
    <row r="155" spans="1:1">
      <c r="A155" s="8"/>
    </row>
    <row r="156" spans="1:1">
      <c r="A156" s="8"/>
    </row>
    <row r="157" spans="1:1">
      <c r="A157" s="8"/>
    </row>
    <row r="158" spans="1:1">
      <c r="A158" s="8"/>
    </row>
    <row r="159" spans="1:1">
      <c r="A159" s="8"/>
    </row>
    <row r="160" spans="1:1">
      <c r="A160" s="8"/>
    </row>
    <row r="161" spans="1:1">
      <c r="A161" s="8"/>
    </row>
    <row r="162" spans="1:1">
      <c r="A162" s="8"/>
    </row>
    <row r="163" spans="1:1">
      <c r="A163" s="8"/>
    </row>
    <row r="164" spans="1:1">
      <c r="A164" s="8"/>
    </row>
    <row r="165" spans="1:1">
      <c r="A165" s="8"/>
    </row>
    <row r="166" spans="1:1">
      <c r="A166" s="8"/>
    </row>
    <row r="167" spans="1:1">
      <c r="A167" s="8"/>
    </row>
    <row r="168" spans="1:1">
      <c r="A168" s="8"/>
    </row>
    <row r="169" spans="1:1">
      <c r="A169" s="8"/>
    </row>
    <row r="170" spans="1:1">
      <c r="A170" s="8"/>
    </row>
    <row r="171" spans="1:1">
      <c r="A171" s="8"/>
    </row>
    <row r="172" spans="1:1">
      <c r="A172" s="8"/>
    </row>
    <row r="173" spans="1:1">
      <c r="A173" s="8"/>
    </row>
    <row r="174" spans="1:1">
      <c r="A174" s="8"/>
    </row>
    <row r="175" spans="1:1">
      <c r="A175" s="8"/>
    </row>
    <row r="176" spans="1:1">
      <c r="A176" s="8"/>
    </row>
    <row r="177" spans="1:1">
      <c r="A177" s="8"/>
    </row>
    <row r="178" spans="1:1">
      <c r="A178" s="8"/>
    </row>
    <row r="179" spans="1:1">
      <c r="A179" s="8"/>
    </row>
    <row r="180" spans="1:1">
      <c r="A180" s="8"/>
    </row>
    <row r="181" spans="1:1">
      <c r="A181" s="8"/>
    </row>
    <row r="182" spans="1:1">
      <c r="A182" s="8"/>
    </row>
    <row r="183" spans="1:1">
      <c r="A183" s="8"/>
    </row>
    <row r="184" spans="1:1">
      <c r="A184" s="8"/>
    </row>
    <row r="185" spans="1:1">
      <c r="A185" s="8"/>
    </row>
    <row r="186" spans="1:1">
      <c r="A186" s="8"/>
    </row>
    <row r="187" spans="1:1">
      <c r="A187" s="8"/>
    </row>
    <row r="188" spans="1:1">
      <c r="A188" s="8"/>
    </row>
    <row r="189" spans="1:1">
      <c r="A189" s="8"/>
    </row>
    <row r="190" spans="1:1">
      <c r="A190" s="8"/>
    </row>
    <row r="191" spans="1:1">
      <c r="A191" s="8"/>
    </row>
    <row r="192" spans="1:1">
      <c r="A192" s="8"/>
    </row>
    <row r="193" spans="1:1">
      <c r="A193" s="8"/>
    </row>
    <row r="194" spans="1:1">
      <c r="A194" s="8"/>
    </row>
    <row r="195" spans="1:1">
      <c r="A195" s="8"/>
    </row>
    <row r="196" spans="1:1">
      <c r="A196" s="8"/>
    </row>
    <row r="197" spans="1:1">
      <c r="A197" s="8"/>
    </row>
    <row r="198" spans="1:1">
      <c r="A198" s="8"/>
    </row>
    <row r="199" spans="1:1">
      <c r="A199" s="8"/>
    </row>
    <row r="200" spans="1:1">
      <c r="A200" s="8"/>
    </row>
    <row r="201" spans="1:1">
      <c r="A201" s="8"/>
    </row>
    <row r="202" spans="1:1">
      <c r="A202" s="8"/>
    </row>
    <row r="203" spans="1:1">
      <c r="A203" s="8"/>
    </row>
    <row r="204" spans="1:1">
      <c r="A204" s="8"/>
    </row>
    <row r="205" spans="1:1">
      <c r="A205" s="8"/>
    </row>
    <row r="206" spans="1:1">
      <c r="A206" s="8"/>
    </row>
    <row r="207" spans="1:1">
      <c r="A207" s="8"/>
    </row>
    <row r="208" spans="1:1">
      <c r="A208" s="8"/>
    </row>
    <row r="209" spans="1:1">
      <c r="A209" s="8"/>
    </row>
    <row r="210" spans="1:1">
      <c r="A210" s="8"/>
    </row>
    <row r="211" spans="1:1">
      <c r="A211" s="8"/>
    </row>
    <row r="212" spans="1:1">
      <c r="A212" s="8"/>
    </row>
    <row r="213" spans="1:1">
      <c r="A213" s="8"/>
    </row>
    <row r="214" spans="1:1">
      <c r="A214" s="8"/>
    </row>
    <row r="215" spans="1:1">
      <c r="A215" s="8"/>
    </row>
    <row r="216" spans="1:1">
      <c r="A216" s="8"/>
    </row>
    <row r="217" spans="1:1">
      <c r="A217" s="8"/>
    </row>
    <row r="218" spans="1:1">
      <c r="A218" s="8"/>
    </row>
    <row r="219" spans="1:1">
      <c r="A219" s="8"/>
    </row>
    <row r="220" spans="1:1">
      <c r="A220" s="8"/>
    </row>
    <row r="221" spans="1:1">
      <c r="A221" s="8"/>
    </row>
    <row r="222" spans="1:1">
      <c r="A222" s="8"/>
    </row>
    <row r="223" spans="1:1">
      <c r="A223" s="8"/>
    </row>
    <row r="224" spans="1:1">
      <c r="A224" s="8"/>
    </row>
    <row r="225" spans="1:1">
      <c r="A225" s="8"/>
    </row>
    <row r="226" spans="1:1">
      <c r="A226" s="8"/>
    </row>
    <row r="227" spans="1:1">
      <c r="A227" s="8"/>
    </row>
    <row r="228" spans="1:1">
      <c r="A228" s="8"/>
    </row>
    <row r="229" spans="1:1">
      <c r="A229" s="8"/>
    </row>
    <row r="230" spans="1:1">
      <c r="A230" s="8"/>
    </row>
    <row r="231" spans="1:1">
      <c r="A231" s="8"/>
    </row>
    <row r="232" spans="1:1">
      <c r="A232" s="8"/>
    </row>
    <row r="233" spans="1:1">
      <c r="A233" s="8"/>
    </row>
    <row r="234" spans="1:1">
      <c r="A234" s="8"/>
    </row>
    <row r="235" spans="1:1">
      <c r="A235" s="8"/>
    </row>
    <row r="236" spans="1:1">
      <c r="A236" s="8"/>
    </row>
    <row r="237" spans="1:1">
      <c r="A237" s="8"/>
    </row>
    <row r="238" spans="1:1">
      <c r="A238" s="8"/>
    </row>
    <row r="239" spans="1:1">
      <c r="A239" s="8"/>
    </row>
    <row r="240" spans="1:1">
      <c r="A240" s="8"/>
    </row>
    <row r="241" spans="1:1">
      <c r="A241" s="8"/>
    </row>
    <row r="242" spans="1:1">
      <c r="A242" s="8"/>
    </row>
    <row r="243" spans="1:1">
      <c r="A243" s="8"/>
    </row>
    <row r="244" spans="1:1">
      <c r="A244" s="8"/>
    </row>
    <row r="245" spans="1:1">
      <c r="A245" s="8"/>
    </row>
    <row r="246" spans="1:1">
      <c r="A246" s="8"/>
    </row>
    <row r="247" spans="1:1">
      <c r="A247" s="8"/>
    </row>
    <row r="248" spans="1:1">
      <c r="A248" s="8"/>
    </row>
    <row r="249" spans="1:1">
      <c r="A249" s="8"/>
    </row>
    <row r="250" spans="1:1">
      <c r="A250" s="8"/>
    </row>
    <row r="251" spans="1:1">
      <c r="A251" s="8"/>
    </row>
    <row r="252" spans="1:1">
      <c r="A252" s="8"/>
    </row>
    <row r="253" spans="1:1">
      <c r="A253" s="8"/>
    </row>
    <row r="254" spans="1:1">
      <c r="A254" s="8"/>
    </row>
    <row r="255" spans="1:1">
      <c r="A255" s="8"/>
    </row>
    <row r="256" spans="1:1">
      <c r="A256" s="8"/>
    </row>
    <row r="257" spans="1:1">
      <c r="A257" s="8"/>
    </row>
    <row r="258" spans="1:1">
      <c r="A258" s="8"/>
    </row>
    <row r="259" spans="1:1">
      <c r="A259" s="8"/>
    </row>
    <row r="260" spans="1:1">
      <c r="A260" s="8"/>
    </row>
    <row r="261" spans="1:1">
      <c r="A261" s="8"/>
    </row>
    <row r="262" spans="1:1">
      <c r="A262" s="8"/>
    </row>
    <row r="263" spans="1:1">
      <c r="A263" s="8"/>
    </row>
    <row r="264" spans="1:1">
      <c r="A264" s="8"/>
    </row>
    <row r="265" spans="1:1">
      <c r="A265" s="8"/>
    </row>
    <row r="266" spans="1:1">
      <c r="A266" s="8"/>
    </row>
    <row r="267" spans="1:1">
      <c r="A267" s="8"/>
    </row>
    <row r="268" spans="1:1">
      <c r="A268" s="8"/>
    </row>
    <row r="269" spans="1:1">
      <c r="A269" s="8"/>
    </row>
    <row r="270" spans="1:1">
      <c r="A270" s="8"/>
    </row>
    <row r="271" spans="1:1">
      <c r="A271" s="8"/>
    </row>
    <row r="272" spans="1:1">
      <c r="A272" s="8"/>
    </row>
    <row r="273" spans="1:1">
      <c r="A273" s="8"/>
    </row>
    <row r="274" spans="1:1">
      <c r="A274" s="8"/>
    </row>
    <row r="275" spans="1:1">
      <c r="A275" s="8"/>
    </row>
    <row r="276" spans="1:1">
      <c r="A276" s="8"/>
    </row>
    <row r="277" spans="1:1">
      <c r="A277" s="8"/>
    </row>
    <row r="278" spans="1:1">
      <c r="A278" s="8"/>
    </row>
    <row r="279" spans="1:1">
      <c r="A279" s="8"/>
    </row>
    <row r="280" spans="1:1">
      <c r="A280" s="8"/>
    </row>
    <row r="281" spans="1:1">
      <c r="A281" s="8"/>
    </row>
    <row r="282" spans="1:1">
      <c r="A282" s="8"/>
    </row>
    <row r="283" spans="1:1">
      <c r="A283" s="8"/>
    </row>
    <row r="284" spans="1:1">
      <c r="A284" s="8"/>
    </row>
    <row r="285" spans="1:1">
      <c r="A285" s="8"/>
    </row>
    <row r="286" spans="1:1">
      <c r="A286" s="8"/>
    </row>
    <row r="287" spans="1:1">
      <c r="A287" s="8"/>
    </row>
    <row r="288" spans="1:1">
      <c r="A288" s="8"/>
    </row>
    <row r="289" spans="1:1">
      <c r="A289" s="8"/>
    </row>
    <row r="290" spans="1:1">
      <c r="A290" s="8"/>
    </row>
    <row r="291" spans="1:1">
      <c r="A291" s="8"/>
    </row>
    <row r="292" spans="1:1">
      <c r="A292" s="8"/>
    </row>
    <row r="293" spans="1:1">
      <c r="A293" s="8"/>
    </row>
    <row r="294" spans="1:1">
      <c r="A294" s="8"/>
    </row>
    <row r="295" spans="1:1">
      <c r="A295" s="8"/>
    </row>
    <row r="296" spans="1:1">
      <c r="A296" s="8"/>
    </row>
    <row r="297" spans="1:1">
      <c r="A297" s="8"/>
    </row>
    <row r="298" spans="1:1">
      <c r="A298" s="8"/>
    </row>
    <row r="299" spans="1:1">
      <c r="A299" s="8"/>
    </row>
    <row r="300" spans="1:1">
      <c r="A300" s="8"/>
    </row>
    <row r="301" spans="1:1">
      <c r="A301" s="8"/>
    </row>
    <row r="302" spans="1:1">
      <c r="A302" s="8"/>
    </row>
    <row r="303" spans="1:1">
      <c r="A303" s="8"/>
    </row>
    <row r="304" spans="1:1">
      <c r="A304" s="8"/>
    </row>
    <row r="305" spans="1:1">
      <c r="A305" s="8"/>
    </row>
    <row r="306" spans="1:1">
      <c r="A306" s="8"/>
    </row>
    <row r="307" spans="1:1">
      <c r="A307" s="8"/>
    </row>
    <row r="308" spans="1:1">
      <c r="A308" s="8"/>
    </row>
    <row r="309" spans="1:1">
      <c r="A309" s="8"/>
    </row>
    <row r="310" spans="1:1">
      <c r="A310" s="8"/>
    </row>
    <row r="311" spans="1:1">
      <c r="A311" s="8"/>
    </row>
    <row r="312" spans="1:1">
      <c r="A312" s="8"/>
    </row>
    <row r="313" spans="1:1">
      <c r="A313" s="8"/>
    </row>
    <row r="314" spans="1:1">
      <c r="A314" s="8"/>
    </row>
    <row r="315" spans="1:1">
      <c r="A315" s="8"/>
    </row>
    <row r="316" spans="1:1">
      <c r="A316" s="8"/>
    </row>
    <row r="317" spans="1:1">
      <c r="A317" s="8"/>
    </row>
    <row r="318" spans="1:1">
      <c r="A318" s="8"/>
    </row>
    <row r="319" spans="1:1">
      <c r="A319" s="8"/>
    </row>
    <row r="320" spans="1:1">
      <c r="A320" s="8"/>
    </row>
    <row r="321" spans="1:1">
      <c r="A321" s="8"/>
    </row>
    <row r="322" spans="1:1">
      <c r="A322" s="8"/>
    </row>
    <row r="323" spans="1:1">
      <c r="A323" s="8"/>
    </row>
    <row r="324" spans="1:1">
      <c r="A324" s="8"/>
    </row>
    <row r="325" spans="1:1">
      <c r="A325" s="8"/>
    </row>
    <row r="326" spans="1:1">
      <c r="A326" s="8"/>
    </row>
    <row r="327" spans="1:1">
      <c r="A327" s="8"/>
    </row>
    <row r="328" spans="1:1">
      <c r="A328" s="8"/>
    </row>
    <row r="329" spans="1:1">
      <c r="A329" s="8"/>
    </row>
    <row r="330" spans="1:1">
      <c r="A330" s="8"/>
    </row>
    <row r="331" spans="1:1">
      <c r="A331" s="8"/>
    </row>
    <row r="332" spans="1:1">
      <c r="A332" s="8"/>
    </row>
    <row r="333" spans="1:1">
      <c r="A333" s="8"/>
    </row>
    <row r="334" spans="1:1">
      <c r="A334" s="8"/>
    </row>
    <row r="335" spans="1:1">
      <c r="A335" s="8"/>
    </row>
    <row r="336" spans="1:1">
      <c r="A336" s="8"/>
    </row>
    <row r="337" spans="1:1">
      <c r="A337" s="8"/>
    </row>
    <row r="338" spans="1:1">
      <c r="A338" s="8"/>
    </row>
    <row r="339" spans="1:1">
      <c r="A339" s="8"/>
    </row>
    <row r="340" spans="1:1">
      <c r="A340" s="8"/>
    </row>
    <row r="341" spans="1:1">
      <c r="A341" s="8"/>
    </row>
    <row r="342" spans="1:1">
      <c r="A342" s="8"/>
    </row>
    <row r="343" spans="1:1">
      <c r="A343" s="8"/>
    </row>
    <row r="344" spans="1:1">
      <c r="A344" s="8"/>
    </row>
    <row r="345" spans="1:1">
      <c r="A345" s="8"/>
    </row>
    <row r="346" spans="1:1">
      <c r="A346" s="8"/>
    </row>
    <row r="347" spans="1:1">
      <c r="A347" s="8"/>
    </row>
    <row r="348" spans="1:1">
      <c r="A348" s="8"/>
    </row>
    <row r="349" spans="1:1">
      <c r="A349" s="8"/>
    </row>
    <row r="350" spans="1:1">
      <c r="A350" s="8"/>
    </row>
    <row r="351" spans="1:1">
      <c r="A351" s="8"/>
    </row>
    <row r="352" spans="1:1">
      <c r="A352" s="8"/>
    </row>
    <row r="353" spans="1:1">
      <c r="A353" s="8"/>
    </row>
    <row r="354" spans="1:1">
      <c r="A354" s="8"/>
    </row>
    <row r="355" spans="1:1">
      <c r="A355" s="8"/>
    </row>
    <row r="356" spans="1:1">
      <c r="A356" s="8"/>
    </row>
    <row r="357" spans="1:1">
      <c r="A357" s="8"/>
    </row>
    <row r="358" spans="1:1">
      <c r="A358" s="8"/>
    </row>
    <row r="359" spans="1:1">
      <c r="A359" s="8"/>
    </row>
    <row r="360" spans="1:1">
      <c r="A360" s="8"/>
    </row>
    <row r="361" spans="1:1">
      <c r="A361" s="8"/>
    </row>
    <row r="362" spans="1:1">
      <c r="A362" s="8"/>
    </row>
    <row r="363" spans="1:1">
      <c r="A363" s="8"/>
    </row>
    <row r="364" spans="1:1">
      <c r="A364" s="8"/>
    </row>
    <row r="365" spans="1:1">
      <c r="A365" s="8"/>
    </row>
    <row r="366" spans="1:1">
      <c r="A366" s="8"/>
    </row>
    <row r="367" spans="1:1">
      <c r="A367" s="8"/>
    </row>
    <row r="368" spans="1:1">
      <c r="A368" s="8"/>
    </row>
    <row r="369" spans="1:1">
      <c r="A369" s="8"/>
    </row>
    <row r="370" spans="1:1">
      <c r="A370" s="8"/>
    </row>
    <row r="371" spans="1:1">
      <c r="A371" s="8"/>
    </row>
    <row r="372" spans="1:1">
      <c r="A372" s="8"/>
    </row>
    <row r="373" spans="1:1">
      <c r="A373" s="8"/>
    </row>
    <row r="374" spans="1:1">
      <c r="A374" s="8"/>
    </row>
    <row r="375" spans="1:1">
      <c r="A375" s="8"/>
    </row>
    <row r="376" spans="1:1">
      <c r="A376" s="8"/>
    </row>
    <row r="377" spans="1:1">
      <c r="A377" s="8"/>
    </row>
    <row r="378" spans="1:1">
      <c r="A378" s="8"/>
    </row>
    <row r="379" spans="1:1">
      <c r="A379" s="8"/>
    </row>
    <row r="380" spans="1:1">
      <c r="A380" s="8"/>
    </row>
    <row r="381" spans="1:1">
      <c r="A381" s="8"/>
    </row>
    <row r="382" spans="1:1">
      <c r="A382" s="8"/>
    </row>
    <row r="383" spans="1:1">
      <c r="A383" s="8"/>
    </row>
    <row r="384" spans="1:1">
      <c r="A384" s="8"/>
    </row>
    <row r="385" spans="1:1">
      <c r="A385" s="8"/>
    </row>
    <row r="386" spans="1:1">
      <c r="A386" s="8"/>
    </row>
    <row r="387" spans="1:1">
      <c r="A387" s="8"/>
    </row>
    <row r="388" spans="1:1">
      <c r="A388" s="8"/>
    </row>
    <row r="389" spans="1:1">
      <c r="A389" s="8"/>
    </row>
    <row r="390" spans="1:1">
      <c r="A390" s="8"/>
    </row>
    <row r="391" spans="1:1">
      <c r="A391" s="8"/>
    </row>
    <row r="392" spans="1:1">
      <c r="A392" s="8"/>
    </row>
    <row r="393" spans="1:1">
      <c r="A393" s="8"/>
    </row>
    <row r="394" spans="1:1">
      <c r="A394" s="8"/>
    </row>
    <row r="395" spans="1:1">
      <c r="A395" s="8"/>
    </row>
    <row r="396" spans="1:1">
      <c r="A396" s="8"/>
    </row>
    <row r="397" spans="1:1">
      <c r="A397" s="8"/>
    </row>
    <row r="398" spans="1:1">
      <c r="A398" s="8"/>
    </row>
    <row r="399" spans="1:1">
      <c r="A399" s="8"/>
    </row>
    <row r="400" spans="1:1">
      <c r="A400" s="8"/>
    </row>
    <row r="401" spans="1:1">
      <c r="A401" s="8"/>
    </row>
    <row r="402" spans="1:1">
      <c r="A402" s="8"/>
    </row>
    <row r="403" spans="1:1">
      <c r="A403" s="8"/>
    </row>
    <row r="404" spans="1:1">
      <c r="A404" s="8"/>
    </row>
    <row r="405" spans="1:1">
      <c r="A405" s="8"/>
    </row>
    <row r="406" spans="1:1">
      <c r="A406" s="8"/>
    </row>
    <row r="407" spans="1:1">
      <c r="A407" s="8"/>
    </row>
    <row r="408" spans="1:1">
      <c r="A408" s="8"/>
    </row>
    <row r="409" spans="1:1">
      <c r="A409" s="8"/>
    </row>
    <row r="410" spans="1:1">
      <c r="A410" s="8"/>
    </row>
    <row r="411" spans="1:1">
      <c r="A411" s="8"/>
    </row>
    <row r="412" spans="1:1">
      <c r="A412" s="8"/>
    </row>
    <row r="413" spans="1:1">
      <c r="A413" s="8"/>
    </row>
    <row r="414" spans="1:1">
      <c r="A414" s="8"/>
    </row>
    <row r="415" spans="1:1">
      <c r="A415" s="8"/>
    </row>
    <row r="416" spans="1:1">
      <c r="A416" s="8"/>
    </row>
    <row r="417" spans="1:1">
      <c r="A417" s="8"/>
    </row>
    <row r="418" spans="1:1">
      <c r="A418" s="8"/>
    </row>
    <row r="419" spans="1:1">
      <c r="A419" s="8"/>
    </row>
    <row r="420" spans="1:1">
      <c r="A420" s="8"/>
    </row>
    <row r="421" spans="1:1">
      <c r="A421" s="8"/>
    </row>
    <row r="422" spans="1:1">
      <c r="A422" s="8"/>
    </row>
    <row r="423" spans="1:1">
      <c r="A423" s="8"/>
    </row>
    <row r="424" spans="1:1">
      <c r="A424" s="8"/>
    </row>
    <row r="425" spans="1:1">
      <c r="A425" s="8"/>
    </row>
    <row r="426" spans="1:1">
      <c r="A426" s="8"/>
    </row>
    <row r="427" spans="1:1">
      <c r="A427" s="8"/>
    </row>
    <row r="428" spans="1:1">
      <c r="A428" s="8"/>
    </row>
    <row r="429" spans="1:1">
      <c r="A429" s="8"/>
    </row>
    <row r="430" spans="1:1">
      <c r="A430" s="8"/>
    </row>
    <row r="431" spans="1:1">
      <c r="A431" s="8"/>
    </row>
    <row r="432" spans="1:1">
      <c r="A432" s="8"/>
    </row>
    <row r="433" spans="1:1">
      <c r="A433" s="8"/>
    </row>
    <row r="434" spans="1:1">
      <c r="A434" s="8"/>
    </row>
    <row r="435" spans="1:1">
      <c r="A435" s="8"/>
    </row>
    <row r="436" spans="1:1">
      <c r="A436" s="8"/>
    </row>
    <row r="437" spans="1:1">
      <c r="A437" s="8"/>
    </row>
    <row r="438" spans="1:1">
      <c r="A438" s="8"/>
    </row>
    <row r="439" spans="1:1">
      <c r="A439" s="8"/>
    </row>
    <row r="440" spans="1:1">
      <c r="A440" s="8"/>
    </row>
    <row r="441" spans="1:1">
      <c r="A441" s="8"/>
    </row>
    <row r="442" spans="1:1">
      <c r="A442" s="8"/>
    </row>
    <row r="443" spans="1:1">
      <c r="A443" s="8"/>
    </row>
    <row r="444" spans="1:1">
      <c r="A444" s="8"/>
    </row>
    <row r="445" spans="1:1">
      <c r="A445" s="8"/>
    </row>
    <row r="446" spans="1:1">
      <c r="A446" s="8"/>
    </row>
    <row r="447" spans="1:1">
      <c r="A447" s="8"/>
    </row>
    <row r="448" spans="1:1">
      <c r="A448" s="8"/>
    </row>
    <row r="449" spans="1:1">
      <c r="A449" s="8"/>
    </row>
    <row r="450" spans="1:1">
      <c r="A450" s="8"/>
    </row>
    <row r="451" spans="1:1">
      <c r="A451" s="8"/>
    </row>
    <row r="452" spans="1:1">
      <c r="A452" s="8"/>
    </row>
    <row r="453" spans="1:1">
      <c r="A453" s="8"/>
    </row>
    <row r="454" spans="1:1">
      <c r="A454" s="8"/>
    </row>
    <row r="455" spans="1:1">
      <c r="A455" s="8"/>
    </row>
    <row r="456" spans="1:1">
      <c r="A456" s="8"/>
    </row>
    <row r="457" spans="1:1">
      <c r="A457" s="8"/>
    </row>
    <row r="458" spans="1:1">
      <c r="A458" s="8"/>
    </row>
    <row r="459" spans="1:1">
      <c r="A459" s="8"/>
    </row>
    <row r="460" spans="1:1">
      <c r="A460" s="8"/>
    </row>
    <row r="461" spans="1:1">
      <c r="A461" s="8"/>
    </row>
    <row r="462" spans="1:1">
      <c r="A462" s="8"/>
    </row>
    <row r="463" spans="1:1">
      <c r="A463" s="8"/>
    </row>
    <row r="464" spans="1:1">
      <c r="A464" s="8"/>
    </row>
    <row r="465" spans="1:1">
      <c r="A465" s="8"/>
    </row>
    <row r="466" spans="1:1">
      <c r="A466" s="8"/>
    </row>
    <row r="467" spans="1:1">
      <c r="A467" s="8"/>
    </row>
    <row r="468" spans="1:1">
      <c r="A468" s="8"/>
    </row>
    <row r="469" spans="1:1">
      <c r="A469" s="8"/>
    </row>
    <row r="470" spans="1:1">
      <c r="A470" s="8"/>
    </row>
    <row r="471" spans="1:1">
      <c r="A471" s="8"/>
    </row>
    <row r="472" spans="1:1">
      <c r="A472" s="8"/>
    </row>
    <row r="473" spans="1:1">
      <c r="A473" s="8"/>
    </row>
    <row r="474" spans="1:1">
      <c r="A474" s="8"/>
    </row>
    <row r="475" spans="1:1">
      <c r="A475" s="8"/>
    </row>
    <row r="476" spans="1:1">
      <c r="A476" s="8"/>
    </row>
    <row r="477" spans="1:1">
      <c r="A477" s="8"/>
    </row>
    <row r="478" spans="1:1">
      <c r="A478" s="8"/>
    </row>
    <row r="479" spans="1:1">
      <c r="A479" s="8"/>
    </row>
    <row r="480" spans="1:1">
      <c r="A480" s="8"/>
    </row>
    <row r="481" spans="1:1">
      <c r="A481" s="8"/>
    </row>
    <row r="482" spans="1:1">
      <c r="A482" s="8"/>
    </row>
    <row r="483" spans="1:1">
      <c r="A483" s="8"/>
    </row>
    <row r="484" spans="1:1">
      <c r="A484" s="8"/>
    </row>
    <row r="485" spans="1:1">
      <c r="A485" s="8"/>
    </row>
    <row r="486" spans="1:1">
      <c r="A486" s="8"/>
    </row>
    <row r="487" spans="1:1">
      <c r="A487" s="8"/>
    </row>
    <row r="488" spans="1:1">
      <c r="A488" s="8"/>
    </row>
    <row r="489" spans="1:1">
      <c r="A489" s="8"/>
    </row>
    <row r="490" spans="1:1">
      <c r="A490" s="8"/>
    </row>
    <row r="491" spans="1:1">
      <c r="A491" s="8"/>
    </row>
    <row r="492" spans="1:1">
      <c r="A492" s="8"/>
    </row>
    <row r="493" spans="1:1">
      <c r="A493" s="8"/>
    </row>
    <row r="494" spans="1:1">
      <c r="A494" s="8"/>
    </row>
    <row r="495" spans="1:1">
      <c r="A495" s="8"/>
    </row>
    <row r="496" spans="1:1">
      <c r="A496" s="8"/>
    </row>
    <row r="497" spans="1:1">
      <c r="A497" s="8"/>
    </row>
    <row r="498" spans="1:1">
      <c r="A498" s="8"/>
    </row>
    <row r="499" spans="1:1">
      <c r="A499" s="8"/>
    </row>
    <row r="500" spans="1:1">
      <c r="A500" s="8"/>
    </row>
  </sheetData>
  <conditionalFormatting sqref="H2:H500">
    <cfRule type="expression" dxfId="50" priority="1">
      <formula>$H2="Cerrada"</formula>
    </cfRule>
    <cfRule type="expression" dxfId="49" priority="2">
      <formula>$H2="Vigente"</formula>
    </cfRule>
    <cfRule type="expression" dxfId="48" priority="3">
      <formula>$H2="Cumple"</formula>
    </cfRule>
    <cfRule type="expression" dxfId="47" priority="4">
      <formula>$H2="Pendiente"</formula>
    </cfRule>
    <cfRule type="expression" dxfId="46" priority="5">
      <formula>$H2="En proceso"</formula>
    </cfRule>
    <cfRule type="expression" dxfId="45" priority="6">
      <formula>$H2="Vencida"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503"/>
  <sheetViews>
    <sheetView tabSelected="1" zoomScale="85" zoomScaleNormal="85" workbookViewId="0">
      <selection activeCell="H18" sqref="H18"/>
    </sheetView>
  </sheetViews>
  <sheetFormatPr baseColWidth="10" defaultColWidth="8.6640625" defaultRowHeight="14"/>
  <cols>
    <col min="1" max="1" width="14" customWidth="1"/>
    <col min="2" max="2" width="16.6640625" customWidth="1"/>
    <col min="3" max="3" width="8.9140625" customWidth="1"/>
    <col min="4" max="10" width="8.9140625" style="52" customWidth="1"/>
    <col min="11" max="11" width="10" style="53" customWidth="1"/>
    <col min="12" max="14" width="10" style="52" customWidth="1"/>
    <col min="15" max="15" width="8" style="52" customWidth="1"/>
    <col min="16" max="16" width="9.08203125" style="52" customWidth="1"/>
    <col min="17" max="17" width="8" style="52" customWidth="1"/>
  </cols>
  <sheetData>
    <row r="1" spans="1:17" ht="32.5" customHeight="1" thickBot="1">
      <c r="A1" s="58" t="s">
        <v>2</v>
      </c>
      <c r="B1" s="58" t="s">
        <v>6</v>
      </c>
      <c r="C1" s="59" t="s">
        <v>115</v>
      </c>
      <c r="D1" s="59" t="s">
        <v>344</v>
      </c>
      <c r="E1" s="59" t="s">
        <v>121</v>
      </c>
      <c r="F1" s="59" t="s">
        <v>345</v>
      </c>
      <c r="G1" s="59" t="s">
        <v>125</v>
      </c>
      <c r="H1" s="59" t="s">
        <v>346</v>
      </c>
      <c r="I1" s="59" t="s">
        <v>131</v>
      </c>
      <c r="J1" s="59" t="s">
        <v>134</v>
      </c>
      <c r="K1" s="59" t="s">
        <v>347</v>
      </c>
      <c r="L1" s="59" t="s">
        <v>348</v>
      </c>
      <c r="M1" s="59" t="s">
        <v>349</v>
      </c>
      <c r="N1" s="59" t="s">
        <v>350</v>
      </c>
      <c r="O1" s="93" t="s">
        <v>360</v>
      </c>
      <c r="P1" s="93" t="s">
        <v>361</v>
      </c>
      <c r="Q1" s="59" t="s">
        <v>362</v>
      </c>
    </row>
    <row r="2" spans="1:17" ht="42" customHeight="1">
      <c r="A2" s="60" t="s">
        <v>351</v>
      </c>
      <c r="B2" s="61" t="s">
        <v>355</v>
      </c>
      <c r="C2" s="61">
        <v>8</v>
      </c>
      <c r="D2" s="61">
        <v>8</v>
      </c>
      <c r="E2" s="61">
        <v>8</v>
      </c>
      <c r="F2" s="61">
        <v>10</v>
      </c>
      <c r="G2" s="61">
        <v>8</v>
      </c>
      <c r="H2" s="61">
        <v>8</v>
      </c>
      <c r="I2" s="99"/>
      <c r="J2" s="61"/>
      <c r="K2" s="61"/>
      <c r="L2" s="61"/>
      <c r="M2" s="61"/>
      <c r="N2" s="62"/>
      <c r="O2" s="94">
        <f>SUM(TablaObservacionesSSOBAPP[[#This Row],[Enero]:[Diciembre]])</f>
        <v>50</v>
      </c>
      <c r="P2" s="94">
        <v>90</v>
      </c>
      <c r="Q2" s="95">
        <f>+TablaObservacionesSSOBAPP[[#This Row],[Real Año]]/TablaObservacionesSSOBAPP[[#This Row],[Teorica Año]]*1</f>
        <v>0.55555555555555558</v>
      </c>
    </row>
    <row r="3" spans="1:17" ht="42" customHeight="1">
      <c r="A3" s="63" t="s">
        <v>352</v>
      </c>
      <c r="B3" s="64" t="s">
        <v>355</v>
      </c>
      <c r="C3" s="64">
        <v>10</v>
      </c>
      <c r="D3" s="64">
        <v>9</v>
      </c>
      <c r="E3" s="64">
        <v>9</v>
      </c>
      <c r="F3" s="64">
        <v>12</v>
      </c>
      <c r="G3" s="64">
        <v>8</v>
      </c>
      <c r="H3" s="64">
        <v>8</v>
      </c>
      <c r="I3" s="100"/>
      <c r="J3" s="64"/>
      <c r="K3" s="64"/>
      <c r="L3" s="64"/>
      <c r="M3" s="64"/>
      <c r="N3" s="65"/>
      <c r="O3" s="56">
        <f>SUM(TablaObservacionesSSOBAPP[[#This Row],[Enero]:[Diciembre]])</f>
        <v>56</v>
      </c>
      <c r="P3" s="56">
        <v>90</v>
      </c>
      <c r="Q3" s="96">
        <f>+TablaObservacionesSSOBAPP[[#This Row],[Real Año]]/TablaObservacionesSSOBAPP[[#This Row],[Teorica Año]]*1</f>
        <v>0.62222222222222223</v>
      </c>
    </row>
    <row r="4" spans="1:17" ht="42" customHeight="1">
      <c r="A4" s="63" t="s">
        <v>353</v>
      </c>
      <c r="B4" s="64" t="s">
        <v>355</v>
      </c>
      <c r="C4" s="64">
        <v>8</v>
      </c>
      <c r="D4" s="64">
        <v>8</v>
      </c>
      <c r="E4" s="64">
        <v>8</v>
      </c>
      <c r="F4" s="64">
        <v>10</v>
      </c>
      <c r="G4" s="64">
        <v>8</v>
      </c>
      <c r="H4" s="64">
        <v>8</v>
      </c>
      <c r="I4" s="100"/>
      <c r="J4" s="64"/>
      <c r="K4" s="64"/>
      <c r="L4" s="64"/>
      <c r="M4" s="64"/>
      <c r="N4" s="65"/>
      <c r="O4" s="56">
        <f>SUM(TablaObservacionesSSOBAPP[[#This Row],[Enero]:[Diciembre]])</f>
        <v>50</v>
      </c>
      <c r="P4" s="56">
        <v>90</v>
      </c>
      <c r="Q4" s="96">
        <f>+TablaObservacionesSSOBAPP[[#This Row],[Real Año]]/TablaObservacionesSSOBAPP[[#This Row],[Teorica Año]]*1</f>
        <v>0.55555555555555558</v>
      </c>
    </row>
    <row r="5" spans="1:17" ht="42" customHeight="1">
      <c r="A5" s="63" t="s">
        <v>354</v>
      </c>
      <c r="B5" s="64" t="s">
        <v>355</v>
      </c>
      <c r="C5" s="64">
        <v>8</v>
      </c>
      <c r="D5" s="64">
        <v>8</v>
      </c>
      <c r="E5" s="64">
        <v>8</v>
      </c>
      <c r="F5" s="64">
        <v>10</v>
      </c>
      <c r="G5" s="64">
        <v>8</v>
      </c>
      <c r="H5" s="64">
        <v>8</v>
      </c>
      <c r="I5" s="100"/>
      <c r="J5" s="64"/>
      <c r="K5" s="64"/>
      <c r="L5" s="64"/>
      <c r="M5" s="64"/>
      <c r="N5" s="65"/>
      <c r="O5" s="56">
        <f>SUM(TablaObservacionesSSOBAPP[[#This Row],[Enero]:[Diciembre]])</f>
        <v>50</v>
      </c>
      <c r="P5" s="56">
        <v>90</v>
      </c>
      <c r="Q5" s="96">
        <f>+TablaObservacionesSSOBAPP[[#This Row],[Real Año]]/TablaObservacionesSSOBAPP[[#This Row],[Teorica Año]]*1</f>
        <v>0.55555555555555558</v>
      </c>
    </row>
    <row r="6" spans="1:17" ht="42" customHeight="1">
      <c r="A6" s="63" t="s">
        <v>188</v>
      </c>
      <c r="B6" s="64" t="s">
        <v>355</v>
      </c>
      <c r="C6" s="64">
        <v>10</v>
      </c>
      <c r="D6" s="64">
        <v>8</v>
      </c>
      <c r="E6" s="64">
        <v>8</v>
      </c>
      <c r="F6" s="64">
        <v>10</v>
      </c>
      <c r="G6" s="64">
        <v>9</v>
      </c>
      <c r="H6" s="64">
        <v>8</v>
      </c>
      <c r="I6" s="100"/>
      <c r="J6" s="64"/>
      <c r="K6" s="64"/>
      <c r="L6" s="64"/>
      <c r="M6" s="64"/>
      <c r="N6" s="65"/>
      <c r="O6" s="56">
        <f>SUM(TablaObservacionesSSOBAPP[[#This Row],[Enero]:[Diciembre]])</f>
        <v>53</v>
      </c>
      <c r="P6" s="56">
        <v>90</v>
      </c>
      <c r="Q6" s="96">
        <f>+TablaObservacionesSSOBAPP[[#This Row],[Real Año]]/TablaObservacionesSSOBAPP[[#This Row],[Teorica Año]]*1</f>
        <v>0.58888888888888891</v>
      </c>
    </row>
    <row r="7" spans="1:17" ht="18" customHeight="1">
      <c r="A7" s="63"/>
      <c r="B7" s="64" t="s">
        <v>358</v>
      </c>
      <c r="C7" s="66">
        <v>40</v>
      </c>
      <c r="D7" s="66">
        <v>40</v>
      </c>
      <c r="E7" s="66">
        <v>40</v>
      </c>
      <c r="F7" s="66">
        <v>50</v>
      </c>
      <c r="G7" s="66">
        <v>40</v>
      </c>
      <c r="H7" s="66">
        <v>40</v>
      </c>
      <c r="I7" s="101"/>
      <c r="J7" s="66"/>
      <c r="K7" s="66"/>
      <c r="L7" s="66"/>
      <c r="M7" s="66"/>
      <c r="N7" s="67"/>
      <c r="O7" s="83">
        <f>SUM(TablaObservacionesSSOBAPP[[#This Row],[Enero]:[Diciembre]])</f>
        <v>250</v>
      </c>
      <c r="P7" s="83">
        <f>SUBTOTAL(109,P2:P6)</f>
        <v>450</v>
      </c>
      <c r="Q7" s="97">
        <f>SUBTOTAL(101,Q2:Q6)</f>
        <v>0.5755555555555556</v>
      </c>
    </row>
    <row r="8" spans="1:17" ht="14.5" customHeight="1" thickBot="1">
      <c r="A8" s="68"/>
      <c r="B8" s="69" t="s">
        <v>359</v>
      </c>
      <c r="C8" s="70">
        <f>SUM(C2:C6)/C7*1</f>
        <v>1.1000000000000001</v>
      </c>
      <c r="D8" s="70">
        <f t="shared" ref="D8:I8" si="0">SUM(D2:D6)/D7*1</f>
        <v>1.0249999999999999</v>
      </c>
      <c r="E8" s="70">
        <f t="shared" si="0"/>
        <v>1.0249999999999999</v>
      </c>
      <c r="F8" s="70">
        <f t="shared" si="0"/>
        <v>1.04</v>
      </c>
      <c r="G8" s="70">
        <f t="shared" si="0"/>
        <v>1.0249999999999999</v>
      </c>
      <c r="H8" s="70">
        <f t="shared" si="0"/>
        <v>1</v>
      </c>
      <c r="I8" s="102"/>
      <c r="J8" s="70"/>
      <c r="K8" s="70"/>
      <c r="L8" s="70"/>
      <c r="M8" s="70"/>
      <c r="N8" s="71"/>
      <c r="O8" s="98"/>
      <c r="P8" s="91"/>
      <c r="Q8" s="92"/>
    </row>
    <row r="9" spans="1:17" ht="30" customHeight="1">
      <c r="A9" s="84" t="s">
        <v>357</v>
      </c>
      <c r="B9" s="75" t="s">
        <v>356</v>
      </c>
      <c r="C9" s="76">
        <v>8</v>
      </c>
      <c r="D9" s="76">
        <v>7</v>
      </c>
      <c r="E9" s="76">
        <v>2</v>
      </c>
      <c r="F9" s="76">
        <v>6</v>
      </c>
      <c r="G9" s="76">
        <v>6</v>
      </c>
      <c r="H9" s="76">
        <v>5</v>
      </c>
      <c r="I9" s="76"/>
      <c r="J9" s="76"/>
      <c r="K9" s="76"/>
      <c r="L9" s="76"/>
      <c r="M9" s="76"/>
      <c r="N9" s="77"/>
      <c r="O9" s="86">
        <f>SUM(TablaObservacionesSSOBAPP[[#This Row],[Enero]:[Diciembre]])</f>
        <v>34</v>
      </c>
      <c r="P9" s="86">
        <v>45</v>
      </c>
      <c r="Q9" s="87">
        <f>+TablaObservacionesSSOBAPP[[#This Row],[Real Año]]/TablaObservacionesSSOBAPP[[#This Row],[Teorica Año]]*1</f>
        <v>0.75555555555555554</v>
      </c>
    </row>
    <row r="10" spans="1:17" s="55" customFormat="1">
      <c r="A10" s="78"/>
      <c r="B10" s="88" t="s">
        <v>358</v>
      </c>
      <c r="C10" s="57">
        <v>4</v>
      </c>
      <c r="D10" s="57">
        <v>4</v>
      </c>
      <c r="E10" s="57">
        <v>1</v>
      </c>
      <c r="F10" s="57">
        <v>4</v>
      </c>
      <c r="G10" s="57">
        <v>4</v>
      </c>
      <c r="H10" s="57">
        <v>4</v>
      </c>
      <c r="I10" s="57"/>
      <c r="J10" s="57"/>
      <c r="K10" s="57"/>
      <c r="L10" s="57"/>
      <c r="M10" s="57"/>
      <c r="N10" s="79"/>
      <c r="O10" s="56"/>
      <c r="P10" s="56"/>
      <c r="Q10" s="89"/>
    </row>
    <row r="11" spans="1:17" ht="14.5" thickBot="1">
      <c r="A11" s="80"/>
      <c r="B11" s="90" t="s">
        <v>359</v>
      </c>
      <c r="C11" s="81">
        <f>+C9/C10*1</f>
        <v>2</v>
      </c>
      <c r="D11" s="81">
        <f t="shared" ref="D11:H11" si="1">+D9/D10*1</f>
        <v>1.75</v>
      </c>
      <c r="E11" s="81">
        <f t="shared" si="1"/>
        <v>2</v>
      </c>
      <c r="F11" s="81">
        <f t="shared" si="1"/>
        <v>1.5</v>
      </c>
      <c r="G11" s="81">
        <f t="shared" si="1"/>
        <v>1.5</v>
      </c>
      <c r="H11" s="81">
        <f t="shared" si="1"/>
        <v>1.25</v>
      </c>
      <c r="I11" s="81"/>
      <c r="J11" s="81"/>
      <c r="K11" s="81"/>
      <c r="L11" s="81"/>
      <c r="M11" s="81"/>
      <c r="N11" s="82"/>
      <c r="O11" s="91"/>
      <c r="P11" s="91"/>
      <c r="Q11" s="92"/>
    </row>
    <row r="12" spans="1:17">
      <c r="A12" s="72"/>
      <c r="B12" s="73"/>
      <c r="C12" s="73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85"/>
      <c r="P12" s="85"/>
      <c r="Q12" s="85"/>
    </row>
    <row r="13" spans="1:17">
      <c r="A13" s="50"/>
      <c r="B13" s="49"/>
      <c r="C13" s="49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4"/>
      <c r="P13" s="54"/>
      <c r="Q13" s="54"/>
    </row>
    <row r="14" spans="1:17">
      <c r="A14" s="50"/>
      <c r="B14" s="49"/>
      <c r="C14" s="49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</row>
    <row r="15" spans="1:17">
      <c r="A15" s="50"/>
      <c r="B15" s="49"/>
      <c r="C15" s="49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</row>
    <row r="16" spans="1:17">
      <c r="A16" s="50"/>
      <c r="B16" s="49"/>
      <c r="C16" s="49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</row>
    <row r="17" spans="1:17">
      <c r="A17" s="50"/>
      <c r="B17" s="49"/>
      <c r="C17" s="49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</row>
    <row r="18" spans="1:17">
      <c r="A18" s="50"/>
      <c r="B18" s="49"/>
      <c r="C18" s="49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</row>
    <row r="19" spans="1:17">
      <c r="A19" s="50"/>
      <c r="B19" s="49"/>
      <c r="C19" s="49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</row>
    <row r="20" spans="1:17">
      <c r="A20" s="50"/>
      <c r="B20" s="49"/>
      <c r="C20" s="49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</row>
    <row r="21" spans="1:17">
      <c r="A21" s="50"/>
      <c r="B21" s="49"/>
      <c r="C21" s="49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</row>
    <row r="22" spans="1:17">
      <c r="A22" s="50"/>
      <c r="B22" s="49"/>
      <c r="C22" s="49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</row>
    <row r="23" spans="1:17">
      <c r="A23" s="50"/>
      <c r="B23" s="49"/>
      <c r="C23" s="49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</row>
    <row r="24" spans="1:17">
      <c r="A24" s="50"/>
      <c r="B24" s="49"/>
      <c r="C24" s="49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</row>
    <row r="25" spans="1:17">
      <c r="A25" s="50"/>
      <c r="B25" s="49"/>
      <c r="C25" s="49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</row>
    <row r="26" spans="1:17">
      <c r="A26" s="50"/>
      <c r="B26" s="49"/>
      <c r="C26" s="49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</row>
    <row r="27" spans="1:17">
      <c r="A27" s="50"/>
      <c r="B27" s="49"/>
      <c r="C27" s="49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</row>
    <row r="28" spans="1:17">
      <c r="A28" s="50"/>
      <c r="B28" s="49"/>
      <c r="C28" s="49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</row>
    <row r="29" spans="1:17">
      <c r="A29" s="50"/>
      <c r="B29" s="49"/>
      <c r="C29" s="49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</row>
    <row r="30" spans="1:17">
      <c r="A30" s="50"/>
      <c r="B30" s="49"/>
      <c r="C30" s="49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</row>
    <row r="31" spans="1:17">
      <c r="A31" s="50"/>
      <c r="B31" s="49"/>
      <c r="C31" s="49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</row>
    <row r="32" spans="1:17">
      <c r="A32" s="50"/>
      <c r="B32" s="49"/>
      <c r="C32" s="49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</row>
    <row r="33" spans="1:17">
      <c r="A33" s="50"/>
      <c r="B33" s="49"/>
      <c r="C33" s="49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</row>
    <row r="34" spans="1:17">
      <c r="A34" s="50"/>
      <c r="B34" s="49"/>
      <c r="C34" s="49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</row>
    <row r="35" spans="1:17">
      <c r="A35" s="50"/>
      <c r="B35" s="49"/>
      <c r="C35" s="49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</row>
    <row r="36" spans="1:17">
      <c r="A36" s="50"/>
      <c r="B36" s="49"/>
      <c r="C36" s="49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</row>
    <row r="37" spans="1:17">
      <c r="A37" s="50"/>
      <c r="B37" s="49"/>
      <c r="C37" s="49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</row>
    <row r="38" spans="1:17">
      <c r="A38" s="50"/>
      <c r="B38" s="49"/>
      <c r="C38" s="49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</row>
    <row r="39" spans="1:17">
      <c r="A39" s="50"/>
      <c r="B39" s="49"/>
      <c r="C39" s="49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</row>
    <row r="40" spans="1:17">
      <c r="A40" s="50"/>
      <c r="B40" s="49"/>
      <c r="C40" s="49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</row>
    <row r="41" spans="1:17">
      <c r="A41" s="50"/>
      <c r="B41" s="49"/>
      <c r="C41" s="49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</row>
    <row r="42" spans="1:17">
      <c r="A42" s="50"/>
      <c r="B42" s="49"/>
      <c r="C42" s="49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</row>
    <row r="43" spans="1:17">
      <c r="A43" s="50"/>
      <c r="B43" s="49"/>
      <c r="C43" s="49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</row>
    <row r="44" spans="1:17">
      <c r="A44" s="50"/>
      <c r="B44" s="49"/>
      <c r="C44" s="49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</row>
    <row r="45" spans="1:17">
      <c r="A45" s="50"/>
      <c r="B45" s="49"/>
      <c r="C45" s="49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</row>
    <row r="46" spans="1:17">
      <c r="A46" s="50"/>
      <c r="B46" s="49"/>
      <c r="C46" s="49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</row>
    <row r="47" spans="1:17">
      <c r="A47" s="50"/>
      <c r="B47" s="49"/>
      <c r="C47" s="49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</row>
    <row r="48" spans="1:17">
      <c r="A48" s="50"/>
      <c r="B48" s="49"/>
      <c r="C48" s="49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</row>
    <row r="49" spans="1:17">
      <c r="A49" s="50"/>
      <c r="B49" s="49"/>
      <c r="C49" s="49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</row>
    <row r="50" spans="1:17">
      <c r="A50" s="50"/>
      <c r="B50" s="49"/>
      <c r="C50" s="49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</row>
    <row r="51" spans="1:17">
      <c r="A51" s="50"/>
      <c r="B51" s="49"/>
      <c r="C51" s="49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</row>
    <row r="52" spans="1:17">
      <c r="A52" s="50"/>
      <c r="B52" s="49"/>
      <c r="C52" s="49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</row>
    <row r="53" spans="1:17">
      <c r="A53" s="50"/>
      <c r="B53" s="49"/>
      <c r="C53" s="49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</row>
    <row r="54" spans="1:17">
      <c r="A54" s="50"/>
      <c r="B54" s="49"/>
      <c r="C54" s="49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</row>
    <row r="55" spans="1:17">
      <c r="A55" s="50"/>
      <c r="B55" s="49"/>
      <c r="C55" s="49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</row>
    <row r="56" spans="1:17">
      <c r="A56" s="50"/>
      <c r="B56" s="49"/>
      <c r="C56" s="49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</row>
    <row r="57" spans="1:17">
      <c r="A57" s="50"/>
      <c r="B57" s="49"/>
      <c r="C57" s="49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</row>
    <row r="58" spans="1:17">
      <c r="A58" s="50"/>
      <c r="B58" s="49"/>
      <c r="C58" s="49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</row>
    <row r="59" spans="1:17">
      <c r="A59" s="50"/>
      <c r="B59" s="49"/>
      <c r="C59" s="49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</row>
    <row r="60" spans="1:17">
      <c r="A60" s="50"/>
      <c r="B60" s="49"/>
      <c r="C60" s="49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</row>
    <row r="61" spans="1:17">
      <c r="A61" s="50"/>
      <c r="B61" s="49"/>
      <c r="C61" s="49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</row>
    <row r="62" spans="1:17">
      <c r="A62" s="50"/>
      <c r="B62" s="49"/>
      <c r="C62" s="49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</row>
    <row r="63" spans="1:17">
      <c r="A63" s="50"/>
      <c r="B63" s="49"/>
      <c r="C63" s="49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</row>
    <row r="64" spans="1:17">
      <c r="A64" s="50"/>
      <c r="B64" s="49"/>
      <c r="C64" s="49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</row>
    <row r="65" spans="1:17">
      <c r="A65" s="50"/>
      <c r="B65" s="49"/>
      <c r="C65" s="49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</row>
    <row r="66" spans="1:17">
      <c r="A66" s="50"/>
      <c r="B66" s="49"/>
      <c r="C66" s="49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</row>
    <row r="67" spans="1:17">
      <c r="A67" s="50"/>
      <c r="B67" s="49"/>
      <c r="C67" s="49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</row>
    <row r="68" spans="1:17">
      <c r="A68" s="50"/>
      <c r="B68" s="49"/>
      <c r="C68" s="49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</row>
    <row r="69" spans="1:17">
      <c r="A69" s="50"/>
      <c r="B69" s="49"/>
      <c r="C69" s="49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</row>
    <row r="70" spans="1:17">
      <c r="A70" s="50"/>
      <c r="B70" s="49"/>
      <c r="C70" s="49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</row>
    <row r="71" spans="1:17">
      <c r="A71" s="50"/>
      <c r="B71" s="49"/>
      <c r="C71" s="49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</row>
    <row r="72" spans="1:17">
      <c r="A72" s="50"/>
      <c r="B72" s="49"/>
      <c r="C72" s="49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</row>
    <row r="73" spans="1:17">
      <c r="A73" s="50"/>
      <c r="B73" s="49"/>
      <c r="C73" s="49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</row>
    <row r="74" spans="1:17">
      <c r="A74" s="50"/>
      <c r="B74" s="49"/>
      <c r="C74" s="49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</row>
    <row r="75" spans="1:17">
      <c r="A75" s="50"/>
      <c r="B75" s="49"/>
      <c r="C75" s="49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</row>
    <row r="76" spans="1:17">
      <c r="A76" s="50"/>
      <c r="B76" s="49"/>
      <c r="C76" s="49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</row>
    <row r="77" spans="1:17">
      <c r="A77" s="50"/>
      <c r="B77" s="49"/>
      <c r="C77" s="49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</row>
    <row r="78" spans="1:17">
      <c r="A78" s="50"/>
      <c r="B78" s="49"/>
      <c r="C78" s="49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</row>
    <row r="79" spans="1:17">
      <c r="A79" s="50"/>
      <c r="B79" s="49"/>
      <c r="C79" s="49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</row>
    <row r="80" spans="1:17">
      <c r="A80" s="50"/>
      <c r="B80" s="49"/>
      <c r="C80" s="49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</row>
    <row r="81" spans="1:17">
      <c r="A81" s="50"/>
      <c r="B81" s="49"/>
      <c r="C81" s="49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</row>
    <row r="82" spans="1:17">
      <c r="A82" s="50"/>
      <c r="B82" s="49"/>
      <c r="C82" s="49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</row>
    <row r="83" spans="1:17">
      <c r="A83" s="50"/>
      <c r="B83" s="49"/>
      <c r="C83" s="49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</row>
    <row r="84" spans="1:17">
      <c r="A84" s="50"/>
      <c r="B84" s="49"/>
      <c r="C84" s="49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</row>
    <row r="85" spans="1:17">
      <c r="A85" s="50"/>
      <c r="B85" s="49"/>
      <c r="C85" s="49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</row>
    <row r="86" spans="1:17">
      <c r="A86" s="50"/>
      <c r="B86" s="49"/>
      <c r="C86" s="49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</row>
    <row r="87" spans="1:17">
      <c r="A87" s="50"/>
      <c r="B87" s="49"/>
      <c r="C87" s="49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</row>
    <row r="88" spans="1:17">
      <c r="A88" s="50"/>
      <c r="B88" s="49"/>
      <c r="C88" s="49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</row>
    <row r="89" spans="1:17">
      <c r="A89" s="50"/>
      <c r="B89" s="49"/>
      <c r="C89" s="49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</row>
    <row r="90" spans="1:17">
      <c r="A90" s="50"/>
      <c r="B90" s="49"/>
      <c r="C90" s="49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</row>
    <row r="91" spans="1:17">
      <c r="A91" s="50"/>
      <c r="B91" s="49"/>
      <c r="C91" s="49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</row>
    <row r="92" spans="1:17">
      <c r="A92" s="50"/>
      <c r="B92" s="49"/>
      <c r="C92" s="49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</row>
    <row r="93" spans="1:17">
      <c r="A93" s="50"/>
      <c r="B93" s="49"/>
      <c r="C93" s="49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</row>
    <row r="94" spans="1:17">
      <c r="A94" s="50"/>
      <c r="B94" s="49"/>
      <c r="C94" s="49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</row>
    <row r="95" spans="1:17">
      <c r="A95" s="50"/>
      <c r="B95" s="49"/>
      <c r="C95" s="49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</row>
    <row r="96" spans="1:17">
      <c r="A96" s="50"/>
      <c r="B96" s="49"/>
      <c r="C96" s="49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</row>
    <row r="97" spans="1:17">
      <c r="A97" s="50"/>
      <c r="B97" s="49"/>
      <c r="C97" s="49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</row>
    <row r="98" spans="1:17">
      <c r="A98" s="50"/>
      <c r="B98" s="49"/>
      <c r="C98" s="49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</row>
    <row r="99" spans="1:17">
      <c r="A99" s="50"/>
      <c r="B99" s="49"/>
      <c r="C99" s="49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</row>
    <row r="100" spans="1:17">
      <c r="A100" s="50"/>
      <c r="B100" s="49"/>
      <c r="C100" s="49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</row>
    <row r="101" spans="1:17">
      <c r="A101" s="50"/>
      <c r="B101" s="49"/>
      <c r="C101" s="49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</row>
    <row r="102" spans="1:17">
      <c r="A102" s="50"/>
      <c r="B102" s="49"/>
      <c r="C102" s="49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</row>
    <row r="103" spans="1:17">
      <c r="A103" s="50"/>
      <c r="B103" s="49"/>
      <c r="C103" s="49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</row>
    <row r="104" spans="1:17">
      <c r="A104" s="50"/>
      <c r="B104" s="49"/>
      <c r="C104" s="49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</row>
    <row r="105" spans="1:17">
      <c r="A105" s="50"/>
      <c r="B105" s="49"/>
      <c r="C105" s="49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</row>
    <row r="106" spans="1:17">
      <c r="A106" s="50"/>
      <c r="B106" s="49"/>
      <c r="C106" s="49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</row>
    <row r="107" spans="1:17">
      <c r="A107" s="50"/>
      <c r="B107" s="49"/>
      <c r="C107" s="49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</row>
    <row r="108" spans="1:17">
      <c r="A108" s="50"/>
      <c r="B108" s="49"/>
      <c r="C108" s="49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</row>
    <row r="109" spans="1:17">
      <c r="A109" s="50"/>
      <c r="B109" s="49"/>
      <c r="C109" s="49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</row>
    <row r="110" spans="1:17">
      <c r="A110" s="50"/>
      <c r="B110" s="49"/>
      <c r="C110" s="49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</row>
    <row r="111" spans="1:17">
      <c r="A111" s="50"/>
      <c r="B111" s="49"/>
      <c r="C111" s="49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</row>
    <row r="112" spans="1:17">
      <c r="A112" s="50"/>
      <c r="B112" s="49"/>
      <c r="C112" s="49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</row>
    <row r="113" spans="1:17">
      <c r="A113" s="50"/>
      <c r="B113" s="49"/>
      <c r="C113" s="49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</row>
    <row r="114" spans="1:17">
      <c r="A114" s="50"/>
      <c r="B114" s="49"/>
      <c r="C114" s="49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</row>
    <row r="115" spans="1:17">
      <c r="A115" s="50"/>
      <c r="B115" s="49"/>
      <c r="C115" s="49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</row>
    <row r="116" spans="1:17">
      <c r="A116" s="50"/>
      <c r="B116" s="49"/>
      <c r="C116" s="49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</row>
    <row r="117" spans="1:17">
      <c r="A117" s="50"/>
      <c r="B117" s="49"/>
      <c r="C117" s="49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</row>
    <row r="118" spans="1:17">
      <c r="A118" s="50"/>
      <c r="B118" s="49"/>
      <c r="C118" s="49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</row>
    <row r="119" spans="1:17">
      <c r="A119" s="50"/>
      <c r="B119" s="49"/>
      <c r="C119" s="49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</row>
    <row r="120" spans="1:17">
      <c r="A120" s="50"/>
      <c r="B120" s="49"/>
      <c r="C120" s="49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</row>
    <row r="121" spans="1:17">
      <c r="A121" s="50"/>
      <c r="B121" s="49"/>
      <c r="C121" s="49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</row>
    <row r="122" spans="1:17">
      <c r="A122" s="50"/>
      <c r="B122" s="49"/>
      <c r="C122" s="49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</row>
    <row r="123" spans="1:17">
      <c r="A123" s="50"/>
      <c r="B123" s="49"/>
      <c r="C123" s="49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</row>
    <row r="124" spans="1:17">
      <c r="A124" s="50"/>
      <c r="B124" s="49"/>
      <c r="C124" s="49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</row>
    <row r="125" spans="1:17">
      <c r="A125" s="50"/>
      <c r="B125" s="49"/>
      <c r="C125" s="49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</row>
    <row r="126" spans="1:17">
      <c r="A126" s="50"/>
      <c r="B126" s="49"/>
      <c r="C126" s="49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</row>
    <row r="127" spans="1:17">
      <c r="A127" s="50"/>
      <c r="B127" s="49"/>
      <c r="C127" s="49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</row>
    <row r="128" spans="1:17">
      <c r="A128" s="50"/>
      <c r="B128" s="49"/>
      <c r="C128" s="49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</row>
    <row r="129" spans="1:17">
      <c r="A129" s="50"/>
      <c r="B129" s="49"/>
      <c r="C129" s="49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</row>
    <row r="130" spans="1:17">
      <c r="A130" s="50"/>
      <c r="B130" s="49"/>
      <c r="C130" s="49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</row>
    <row r="131" spans="1:17">
      <c r="A131" s="50"/>
      <c r="B131" s="49"/>
      <c r="C131" s="49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</row>
    <row r="132" spans="1:17">
      <c r="A132" s="50"/>
      <c r="B132" s="49"/>
      <c r="C132" s="49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</row>
    <row r="133" spans="1:17">
      <c r="A133" s="50"/>
      <c r="B133" s="49"/>
      <c r="C133" s="49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</row>
    <row r="134" spans="1:17">
      <c r="A134" s="50"/>
      <c r="B134" s="49"/>
      <c r="C134" s="49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</row>
    <row r="135" spans="1:17">
      <c r="A135" s="50"/>
      <c r="B135" s="49"/>
      <c r="C135" s="49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</row>
    <row r="136" spans="1:17">
      <c r="A136" s="50"/>
      <c r="B136" s="49"/>
      <c r="C136" s="49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</row>
    <row r="137" spans="1:17">
      <c r="A137" s="50"/>
      <c r="B137" s="49"/>
      <c r="C137" s="49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</row>
    <row r="138" spans="1:17">
      <c r="A138" s="50"/>
      <c r="B138" s="49"/>
      <c r="C138" s="49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</row>
    <row r="139" spans="1:17">
      <c r="A139" s="50"/>
      <c r="B139" s="49"/>
      <c r="C139" s="49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</row>
    <row r="140" spans="1:17">
      <c r="A140" s="50"/>
      <c r="B140" s="49"/>
      <c r="C140" s="49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</row>
    <row r="141" spans="1:17">
      <c r="A141" s="50"/>
      <c r="B141" s="49"/>
      <c r="C141" s="49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</row>
    <row r="142" spans="1:17">
      <c r="A142" s="50"/>
      <c r="B142" s="49"/>
      <c r="C142" s="49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</row>
    <row r="143" spans="1:17">
      <c r="A143" s="50"/>
      <c r="B143" s="49"/>
      <c r="C143" s="49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</row>
    <row r="144" spans="1:17">
      <c r="A144" s="50"/>
      <c r="B144" s="49"/>
      <c r="C144" s="49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</row>
    <row r="145" spans="1:17">
      <c r="A145" s="50"/>
      <c r="B145" s="49"/>
      <c r="C145" s="49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</row>
    <row r="146" spans="1:17">
      <c r="A146" s="50"/>
      <c r="B146" s="49"/>
      <c r="C146" s="49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</row>
    <row r="147" spans="1:17">
      <c r="A147" s="50"/>
      <c r="B147" s="49"/>
      <c r="C147" s="49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</row>
    <row r="148" spans="1:17">
      <c r="A148" s="50"/>
      <c r="B148" s="49"/>
      <c r="C148" s="49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</row>
    <row r="149" spans="1:17">
      <c r="A149" s="50"/>
      <c r="B149" s="49"/>
      <c r="C149" s="49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</row>
    <row r="150" spans="1:17">
      <c r="A150" s="50"/>
      <c r="B150" s="49"/>
      <c r="C150" s="49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</row>
    <row r="151" spans="1:17">
      <c r="A151" s="50"/>
      <c r="B151" s="49"/>
      <c r="C151" s="49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</row>
    <row r="152" spans="1:17">
      <c r="A152" s="50"/>
      <c r="B152" s="49"/>
      <c r="C152" s="49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</row>
    <row r="153" spans="1:17">
      <c r="A153" s="50"/>
      <c r="B153" s="49"/>
      <c r="C153" s="49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</row>
    <row r="154" spans="1:17">
      <c r="A154" s="50"/>
      <c r="B154" s="49"/>
      <c r="C154" s="49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</row>
    <row r="155" spans="1:17">
      <c r="A155" s="50"/>
      <c r="B155" s="49"/>
      <c r="C155" s="49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</row>
    <row r="156" spans="1:17">
      <c r="A156" s="50"/>
      <c r="B156" s="49"/>
      <c r="C156" s="49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</row>
    <row r="157" spans="1:17">
      <c r="A157" s="50"/>
      <c r="B157" s="49"/>
      <c r="C157" s="49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</row>
    <row r="158" spans="1:17">
      <c r="A158" s="50"/>
      <c r="B158" s="49"/>
      <c r="C158" s="49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</row>
    <row r="159" spans="1:17">
      <c r="A159" s="50"/>
      <c r="B159" s="49"/>
      <c r="C159" s="49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</row>
    <row r="160" spans="1:17">
      <c r="A160" s="50"/>
      <c r="B160" s="49"/>
      <c r="C160" s="49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</row>
    <row r="161" spans="1:17">
      <c r="A161" s="50"/>
      <c r="B161" s="49"/>
      <c r="C161" s="49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</row>
    <row r="162" spans="1:17">
      <c r="A162" s="50"/>
      <c r="B162" s="49"/>
      <c r="C162" s="49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</row>
    <row r="163" spans="1:17">
      <c r="A163" s="50"/>
      <c r="B163" s="49"/>
      <c r="C163" s="49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</row>
    <row r="164" spans="1:17">
      <c r="A164" s="50"/>
      <c r="B164" s="49"/>
      <c r="C164" s="49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</row>
    <row r="165" spans="1:17">
      <c r="A165" s="50"/>
      <c r="B165" s="49"/>
      <c r="C165" s="49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</row>
    <row r="166" spans="1:17">
      <c r="A166" s="50"/>
      <c r="B166" s="49"/>
      <c r="C166" s="49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</row>
    <row r="167" spans="1:17">
      <c r="A167" s="50"/>
      <c r="B167" s="49"/>
      <c r="C167" s="49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</row>
    <row r="168" spans="1:17">
      <c r="A168" s="50"/>
      <c r="B168" s="49"/>
      <c r="C168" s="49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</row>
    <row r="169" spans="1:17">
      <c r="A169" s="50"/>
      <c r="B169" s="49"/>
      <c r="C169" s="49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</row>
    <row r="170" spans="1:17">
      <c r="A170" s="50"/>
      <c r="B170" s="49"/>
      <c r="C170" s="49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</row>
    <row r="171" spans="1:17">
      <c r="A171" s="50"/>
      <c r="B171" s="49"/>
      <c r="C171" s="49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</row>
    <row r="172" spans="1:17">
      <c r="A172" s="50"/>
      <c r="B172" s="49"/>
      <c r="C172" s="49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</row>
    <row r="173" spans="1:17">
      <c r="A173" s="50"/>
      <c r="B173" s="49"/>
      <c r="C173" s="49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</row>
    <row r="174" spans="1:17">
      <c r="A174" s="50"/>
      <c r="B174" s="49"/>
      <c r="C174" s="49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</row>
    <row r="175" spans="1:17">
      <c r="A175" s="50"/>
      <c r="B175" s="49"/>
      <c r="C175" s="49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</row>
    <row r="176" spans="1:17">
      <c r="A176" s="50"/>
      <c r="B176" s="49"/>
      <c r="C176" s="49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</row>
    <row r="177" spans="1:17">
      <c r="A177" s="50"/>
      <c r="B177" s="49"/>
      <c r="C177" s="49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</row>
    <row r="178" spans="1:17">
      <c r="A178" s="50"/>
      <c r="B178" s="49"/>
      <c r="C178" s="49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</row>
    <row r="179" spans="1:17">
      <c r="A179" s="50"/>
      <c r="B179" s="49"/>
      <c r="C179" s="49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</row>
    <row r="180" spans="1:17">
      <c r="A180" s="50"/>
      <c r="B180" s="49"/>
      <c r="C180" s="49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</row>
    <row r="181" spans="1:17">
      <c r="A181" s="50"/>
      <c r="B181" s="49"/>
      <c r="C181" s="49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</row>
    <row r="182" spans="1:17">
      <c r="A182" s="50"/>
      <c r="B182" s="49"/>
      <c r="C182" s="49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</row>
    <row r="183" spans="1:17">
      <c r="A183" s="50"/>
      <c r="B183" s="49"/>
      <c r="C183" s="49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</row>
    <row r="184" spans="1:17">
      <c r="A184" s="50"/>
      <c r="B184" s="49"/>
      <c r="C184" s="49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</row>
    <row r="185" spans="1:17">
      <c r="A185" s="50"/>
      <c r="B185" s="49"/>
      <c r="C185" s="49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</row>
    <row r="186" spans="1:17">
      <c r="A186" s="50"/>
      <c r="B186" s="49"/>
      <c r="C186" s="49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</row>
    <row r="187" spans="1:17">
      <c r="A187" s="50"/>
      <c r="B187" s="49"/>
      <c r="C187" s="49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</row>
    <row r="188" spans="1:17">
      <c r="A188" s="50"/>
      <c r="B188" s="49"/>
      <c r="C188" s="49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</row>
    <row r="189" spans="1:17">
      <c r="A189" s="50"/>
      <c r="B189" s="49"/>
      <c r="C189" s="49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</row>
    <row r="190" spans="1:17">
      <c r="A190" s="50"/>
      <c r="B190" s="49"/>
      <c r="C190" s="49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</row>
    <row r="191" spans="1:17">
      <c r="A191" s="50"/>
      <c r="B191" s="49"/>
      <c r="C191" s="49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</row>
    <row r="192" spans="1:17">
      <c r="A192" s="50"/>
      <c r="B192" s="49"/>
      <c r="C192" s="49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</row>
    <row r="193" spans="1:17">
      <c r="A193" s="50"/>
      <c r="B193" s="49"/>
      <c r="C193" s="49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</row>
    <row r="194" spans="1:17">
      <c r="A194" s="50"/>
      <c r="B194" s="49"/>
      <c r="C194" s="49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</row>
    <row r="195" spans="1:17">
      <c r="A195" s="50"/>
      <c r="B195" s="49"/>
      <c r="C195" s="49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</row>
    <row r="196" spans="1:17">
      <c r="A196" s="50"/>
      <c r="B196" s="49"/>
      <c r="C196" s="49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</row>
    <row r="197" spans="1:17">
      <c r="A197" s="50"/>
      <c r="B197" s="49"/>
      <c r="C197" s="49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</row>
    <row r="198" spans="1:17">
      <c r="A198" s="50"/>
      <c r="B198" s="49"/>
      <c r="C198" s="49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</row>
    <row r="199" spans="1:17">
      <c r="A199" s="50"/>
      <c r="B199" s="49"/>
      <c r="C199" s="49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</row>
    <row r="200" spans="1:17">
      <c r="A200" s="50"/>
      <c r="B200" s="49"/>
      <c r="C200" s="49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</row>
    <row r="201" spans="1:17">
      <c r="A201" s="50"/>
      <c r="B201" s="49"/>
      <c r="C201" s="49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</row>
    <row r="202" spans="1:17">
      <c r="A202" s="50"/>
      <c r="B202" s="49"/>
      <c r="C202" s="49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</row>
    <row r="203" spans="1:17">
      <c r="A203" s="50"/>
      <c r="B203" s="49"/>
      <c r="C203" s="49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</row>
    <row r="204" spans="1:17">
      <c r="A204" s="50"/>
      <c r="B204" s="49"/>
      <c r="C204" s="49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</row>
    <row r="205" spans="1:17">
      <c r="A205" s="50"/>
      <c r="B205" s="49"/>
      <c r="C205" s="49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</row>
    <row r="206" spans="1:17">
      <c r="A206" s="50"/>
      <c r="B206" s="49"/>
      <c r="C206" s="49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</row>
    <row r="207" spans="1:17">
      <c r="A207" s="50"/>
      <c r="B207" s="49"/>
      <c r="C207" s="49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</row>
    <row r="208" spans="1:17">
      <c r="A208" s="50"/>
      <c r="B208" s="49"/>
      <c r="C208" s="49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</row>
    <row r="209" spans="1:17">
      <c r="A209" s="50"/>
      <c r="B209" s="49"/>
      <c r="C209" s="49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</row>
    <row r="210" spans="1:17">
      <c r="A210" s="50"/>
      <c r="B210" s="49"/>
      <c r="C210" s="49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</row>
    <row r="211" spans="1:17">
      <c r="A211" s="50"/>
      <c r="B211" s="49"/>
      <c r="C211" s="49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</row>
    <row r="212" spans="1:17">
      <c r="A212" s="50"/>
      <c r="B212" s="49"/>
      <c r="C212" s="49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</row>
    <row r="213" spans="1:17">
      <c r="A213" s="50"/>
      <c r="B213" s="49"/>
      <c r="C213" s="49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</row>
    <row r="214" spans="1:17">
      <c r="A214" s="50"/>
      <c r="B214" s="49"/>
      <c r="C214" s="49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</row>
    <row r="215" spans="1:17">
      <c r="A215" s="50"/>
      <c r="B215" s="49"/>
      <c r="C215" s="49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</row>
    <row r="216" spans="1:17">
      <c r="A216" s="50"/>
      <c r="B216" s="49"/>
      <c r="C216" s="49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</row>
    <row r="217" spans="1:17">
      <c r="A217" s="50"/>
      <c r="B217" s="49"/>
      <c r="C217" s="49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</row>
    <row r="218" spans="1:17">
      <c r="A218" s="50"/>
      <c r="B218" s="49"/>
      <c r="C218" s="49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</row>
    <row r="219" spans="1:17">
      <c r="A219" s="50"/>
      <c r="B219" s="49"/>
      <c r="C219" s="49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</row>
    <row r="220" spans="1:17">
      <c r="A220" s="50"/>
      <c r="B220" s="49"/>
      <c r="C220" s="49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</row>
    <row r="221" spans="1:17">
      <c r="A221" s="50"/>
      <c r="B221" s="49"/>
      <c r="C221" s="49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</row>
    <row r="222" spans="1:17">
      <c r="A222" s="50"/>
      <c r="B222" s="49"/>
      <c r="C222" s="49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</row>
    <row r="223" spans="1:17">
      <c r="A223" s="50"/>
      <c r="B223" s="49"/>
      <c r="C223" s="49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</row>
    <row r="224" spans="1:17">
      <c r="A224" s="50"/>
      <c r="B224" s="49"/>
      <c r="C224" s="49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</row>
    <row r="225" spans="1:17">
      <c r="A225" s="50"/>
      <c r="B225" s="49"/>
      <c r="C225" s="49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</row>
    <row r="226" spans="1:17">
      <c r="A226" s="50"/>
      <c r="B226" s="49"/>
      <c r="C226" s="49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</row>
    <row r="227" spans="1:17">
      <c r="A227" s="50"/>
      <c r="B227" s="49"/>
      <c r="C227" s="49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</row>
    <row r="228" spans="1:17">
      <c r="A228" s="50"/>
      <c r="B228" s="49"/>
      <c r="C228" s="49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</row>
    <row r="229" spans="1:17">
      <c r="A229" s="50"/>
      <c r="B229" s="49"/>
      <c r="C229" s="49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</row>
    <row r="230" spans="1:17">
      <c r="A230" s="50"/>
      <c r="B230" s="49"/>
      <c r="C230" s="49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</row>
    <row r="231" spans="1:17">
      <c r="A231" s="50"/>
      <c r="B231" s="49"/>
      <c r="C231" s="49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</row>
    <row r="232" spans="1:17">
      <c r="A232" s="50"/>
      <c r="B232" s="49"/>
      <c r="C232" s="49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</row>
    <row r="233" spans="1:17">
      <c r="A233" s="50"/>
      <c r="B233" s="49"/>
      <c r="C233" s="49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</row>
    <row r="234" spans="1:17">
      <c r="A234" s="50"/>
      <c r="B234" s="49"/>
      <c r="C234" s="49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</row>
    <row r="235" spans="1:17">
      <c r="A235" s="50"/>
      <c r="B235" s="49"/>
      <c r="C235" s="49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</row>
    <row r="236" spans="1:17">
      <c r="A236" s="50"/>
      <c r="B236" s="49"/>
      <c r="C236" s="49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</row>
    <row r="237" spans="1:17">
      <c r="A237" s="50"/>
      <c r="B237" s="49"/>
      <c r="C237" s="49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</row>
    <row r="238" spans="1:17">
      <c r="A238" s="50"/>
      <c r="B238" s="49"/>
      <c r="C238" s="49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</row>
    <row r="239" spans="1:17">
      <c r="A239" s="50"/>
      <c r="B239" s="49"/>
      <c r="C239" s="49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</row>
    <row r="240" spans="1:17">
      <c r="A240" s="50"/>
      <c r="B240" s="49"/>
      <c r="C240" s="49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</row>
    <row r="241" spans="1:17">
      <c r="A241" s="50"/>
      <c r="B241" s="49"/>
      <c r="C241" s="49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</row>
    <row r="242" spans="1:17">
      <c r="A242" s="50"/>
      <c r="B242" s="49"/>
      <c r="C242" s="49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</row>
    <row r="243" spans="1:17">
      <c r="A243" s="50"/>
      <c r="B243" s="49"/>
      <c r="C243" s="49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</row>
    <row r="244" spans="1:17">
      <c r="A244" s="50"/>
      <c r="B244" s="49"/>
      <c r="C244" s="49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</row>
    <row r="245" spans="1:17">
      <c r="A245" s="50"/>
      <c r="B245" s="49"/>
      <c r="C245" s="49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</row>
    <row r="246" spans="1:17">
      <c r="A246" s="50"/>
      <c r="B246" s="49"/>
      <c r="C246" s="49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</row>
    <row r="247" spans="1:17">
      <c r="A247" s="50"/>
      <c r="B247" s="49"/>
      <c r="C247" s="49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</row>
    <row r="248" spans="1:17">
      <c r="A248" s="50"/>
      <c r="B248" s="49"/>
      <c r="C248" s="49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</row>
    <row r="249" spans="1:17">
      <c r="A249" s="50"/>
      <c r="B249" s="49"/>
      <c r="C249" s="49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</row>
    <row r="250" spans="1:17">
      <c r="A250" s="50"/>
      <c r="B250" s="49"/>
      <c r="C250" s="49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</row>
    <row r="251" spans="1:17">
      <c r="A251" s="50"/>
      <c r="B251" s="49"/>
      <c r="C251" s="49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</row>
    <row r="252" spans="1:17">
      <c r="A252" s="50"/>
      <c r="B252" s="49"/>
      <c r="C252" s="49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</row>
    <row r="253" spans="1:17">
      <c r="A253" s="50"/>
      <c r="B253" s="49"/>
      <c r="C253" s="49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</row>
    <row r="254" spans="1:17">
      <c r="A254" s="50"/>
      <c r="B254" s="49"/>
      <c r="C254" s="49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</row>
    <row r="255" spans="1:17">
      <c r="A255" s="50"/>
      <c r="B255" s="49"/>
      <c r="C255" s="49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</row>
    <row r="256" spans="1:17">
      <c r="A256" s="50"/>
      <c r="B256" s="49"/>
      <c r="C256" s="49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</row>
    <row r="257" spans="1:17">
      <c r="A257" s="50"/>
      <c r="B257" s="49"/>
      <c r="C257" s="49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</row>
    <row r="258" spans="1:17">
      <c r="A258" s="50"/>
      <c r="B258" s="49"/>
      <c r="C258" s="49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</row>
    <row r="259" spans="1:17">
      <c r="A259" s="50"/>
      <c r="B259" s="49"/>
      <c r="C259" s="49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</row>
    <row r="260" spans="1:17">
      <c r="A260" s="50"/>
      <c r="B260" s="49"/>
      <c r="C260" s="49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</row>
    <row r="261" spans="1:17">
      <c r="A261" s="50"/>
      <c r="B261" s="49"/>
      <c r="C261" s="49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</row>
    <row r="262" spans="1:17">
      <c r="A262" s="50"/>
      <c r="B262" s="49"/>
      <c r="C262" s="49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</row>
    <row r="263" spans="1:17">
      <c r="A263" s="50"/>
      <c r="B263" s="49"/>
      <c r="C263" s="49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</row>
    <row r="264" spans="1:17">
      <c r="A264" s="50"/>
      <c r="B264" s="49"/>
      <c r="C264" s="49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</row>
    <row r="265" spans="1:17">
      <c r="A265" s="50"/>
      <c r="B265" s="49"/>
      <c r="C265" s="49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</row>
    <row r="266" spans="1:17">
      <c r="A266" s="50"/>
      <c r="B266" s="49"/>
      <c r="C266" s="49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</row>
    <row r="267" spans="1:17">
      <c r="A267" s="50"/>
      <c r="B267" s="49"/>
      <c r="C267" s="49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</row>
    <row r="268" spans="1:17">
      <c r="A268" s="50"/>
      <c r="B268" s="49"/>
      <c r="C268" s="49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</row>
    <row r="269" spans="1:17">
      <c r="A269" s="50"/>
      <c r="B269" s="49"/>
      <c r="C269" s="49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</row>
    <row r="270" spans="1:17">
      <c r="A270" s="50"/>
      <c r="B270" s="49"/>
      <c r="C270" s="49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</row>
    <row r="271" spans="1:17">
      <c r="A271" s="50"/>
      <c r="B271" s="49"/>
      <c r="C271" s="49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</row>
    <row r="272" spans="1:17">
      <c r="A272" s="50"/>
      <c r="B272" s="49"/>
      <c r="C272" s="49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</row>
    <row r="273" spans="1:17">
      <c r="A273" s="50"/>
      <c r="B273" s="49"/>
      <c r="C273" s="49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</row>
    <row r="274" spans="1:17">
      <c r="A274" s="50"/>
      <c r="B274" s="49"/>
      <c r="C274" s="49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</row>
    <row r="275" spans="1:17">
      <c r="A275" s="50"/>
      <c r="B275" s="49"/>
      <c r="C275" s="49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</row>
    <row r="276" spans="1:17">
      <c r="A276" s="50"/>
      <c r="B276" s="49"/>
      <c r="C276" s="49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</row>
    <row r="277" spans="1:17">
      <c r="A277" s="50"/>
      <c r="B277" s="49"/>
      <c r="C277" s="49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</row>
    <row r="278" spans="1:17">
      <c r="A278" s="50"/>
      <c r="B278" s="49"/>
      <c r="C278" s="49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</row>
    <row r="279" spans="1:17">
      <c r="A279" s="50"/>
      <c r="B279" s="49"/>
      <c r="C279" s="49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</row>
    <row r="280" spans="1:17">
      <c r="A280" s="50"/>
      <c r="B280" s="49"/>
      <c r="C280" s="49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</row>
    <row r="281" spans="1:17">
      <c r="A281" s="50"/>
      <c r="B281" s="49"/>
      <c r="C281" s="49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</row>
    <row r="282" spans="1:17">
      <c r="A282" s="50"/>
      <c r="B282" s="49"/>
      <c r="C282" s="49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</row>
    <row r="283" spans="1:17">
      <c r="A283" s="50"/>
      <c r="B283" s="49"/>
      <c r="C283" s="49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</row>
    <row r="284" spans="1:17">
      <c r="A284" s="50"/>
      <c r="B284" s="49"/>
      <c r="C284" s="49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</row>
    <row r="285" spans="1:17">
      <c r="A285" s="50"/>
      <c r="B285" s="49"/>
      <c r="C285" s="49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</row>
    <row r="286" spans="1:17">
      <c r="A286" s="50"/>
      <c r="B286" s="49"/>
      <c r="C286" s="49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</row>
    <row r="287" spans="1:17">
      <c r="A287" s="50"/>
      <c r="B287" s="49"/>
      <c r="C287" s="49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</row>
    <row r="288" spans="1:17">
      <c r="A288" s="50"/>
      <c r="B288" s="49"/>
      <c r="C288" s="49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</row>
    <row r="289" spans="1:17">
      <c r="A289" s="50"/>
      <c r="B289" s="49"/>
      <c r="C289" s="49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</row>
    <row r="290" spans="1:17">
      <c r="A290" s="50"/>
      <c r="B290" s="49"/>
      <c r="C290" s="49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</row>
    <row r="291" spans="1:17">
      <c r="A291" s="50"/>
      <c r="B291" s="49"/>
      <c r="C291" s="49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</row>
    <row r="292" spans="1:17">
      <c r="A292" s="50"/>
      <c r="B292" s="49"/>
      <c r="C292" s="49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</row>
    <row r="293" spans="1:17">
      <c r="A293" s="50"/>
      <c r="B293" s="49"/>
      <c r="C293" s="49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</row>
    <row r="294" spans="1:17">
      <c r="A294" s="50"/>
      <c r="B294" s="49"/>
      <c r="C294" s="49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</row>
    <row r="295" spans="1:17">
      <c r="A295" s="50"/>
      <c r="B295" s="49"/>
      <c r="C295" s="49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</row>
    <row r="296" spans="1:17">
      <c r="A296" s="50"/>
      <c r="B296" s="49"/>
      <c r="C296" s="49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</row>
    <row r="297" spans="1:17">
      <c r="A297" s="50"/>
      <c r="B297" s="49"/>
      <c r="C297" s="49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</row>
    <row r="298" spans="1:17">
      <c r="A298" s="50"/>
      <c r="B298" s="49"/>
      <c r="C298" s="49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</row>
    <row r="299" spans="1:17">
      <c r="A299" s="50"/>
      <c r="B299" s="49"/>
      <c r="C299" s="49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</row>
    <row r="300" spans="1:17">
      <c r="A300" s="50"/>
      <c r="B300" s="49"/>
      <c r="C300" s="49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</row>
    <row r="301" spans="1:17">
      <c r="A301" s="50"/>
      <c r="B301" s="49"/>
      <c r="C301" s="49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</row>
    <row r="302" spans="1:17">
      <c r="A302" s="50"/>
      <c r="B302" s="49"/>
      <c r="C302" s="49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</row>
    <row r="303" spans="1:17">
      <c r="A303" s="50"/>
      <c r="B303" s="49"/>
      <c r="C303" s="49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</row>
    <row r="304" spans="1:17">
      <c r="A304" s="50"/>
      <c r="B304" s="49"/>
      <c r="C304" s="49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</row>
    <row r="305" spans="1:17">
      <c r="A305" s="50"/>
      <c r="B305" s="49"/>
      <c r="C305" s="49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</row>
    <row r="306" spans="1:17">
      <c r="A306" s="50"/>
      <c r="B306" s="49"/>
      <c r="C306" s="49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</row>
    <row r="307" spans="1:17">
      <c r="A307" s="50"/>
      <c r="B307" s="49"/>
      <c r="C307" s="49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</row>
    <row r="308" spans="1:17">
      <c r="A308" s="50"/>
      <c r="B308" s="49"/>
      <c r="C308" s="49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</row>
    <row r="309" spans="1:17">
      <c r="A309" s="50"/>
      <c r="B309" s="49"/>
      <c r="C309" s="49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</row>
    <row r="310" spans="1:17">
      <c r="A310" s="50"/>
      <c r="B310" s="49"/>
      <c r="C310" s="49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</row>
    <row r="311" spans="1:17">
      <c r="A311" s="50"/>
      <c r="B311" s="49"/>
      <c r="C311" s="49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</row>
    <row r="312" spans="1:17">
      <c r="A312" s="50"/>
      <c r="B312" s="49"/>
      <c r="C312" s="49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</row>
    <row r="313" spans="1:17">
      <c r="A313" s="50"/>
      <c r="B313" s="49"/>
      <c r="C313" s="49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</row>
    <row r="314" spans="1:17">
      <c r="A314" s="50"/>
      <c r="B314" s="49"/>
      <c r="C314" s="49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</row>
    <row r="315" spans="1:17">
      <c r="A315" s="50"/>
      <c r="B315" s="49"/>
      <c r="C315" s="49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</row>
    <row r="316" spans="1:17">
      <c r="A316" s="50"/>
      <c r="B316" s="49"/>
      <c r="C316" s="49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</row>
    <row r="317" spans="1:17">
      <c r="A317" s="50"/>
      <c r="B317" s="49"/>
      <c r="C317" s="49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</row>
    <row r="318" spans="1:17">
      <c r="A318" s="50"/>
      <c r="B318" s="49"/>
      <c r="C318" s="49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</row>
    <row r="319" spans="1:17">
      <c r="A319" s="50"/>
      <c r="B319" s="49"/>
      <c r="C319" s="49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</row>
    <row r="320" spans="1:17">
      <c r="A320" s="50"/>
      <c r="B320" s="49"/>
      <c r="C320" s="49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</row>
    <row r="321" spans="1:17">
      <c r="A321" s="50"/>
      <c r="B321" s="49"/>
      <c r="C321" s="49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</row>
    <row r="322" spans="1:17">
      <c r="A322" s="50"/>
      <c r="B322" s="49"/>
      <c r="C322" s="49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</row>
    <row r="323" spans="1:17">
      <c r="A323" s="50"/>
      <c r="B323" s="49"/>
      <c r="C323" s="49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</row>
    <row r="324" spans="1:17">
      <c r="A324" s="50"/>
      <c r="B324" s="49"/>
      <c r="C324" s="49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</row>
    <row r="325" spans="1:17">
      <c r="A325" s="50"/>
      <c r="B325" s="49"/>
      <c r="C325" s="49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</row>
    <row r="326" spans="1:17">
      <c r="A326" s="50"/>
      <c r="B326" s="49"/>
      <c r="C326" s="49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</row>
    <row r="327" spans="1:17">
      <c r="A327" s="50"/>
      <c r="B327" s="49"/>
      <c r="C327" s="49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</row>
    <row r="328" spans="1:17">
      <c r="A328" s="50"/>
      <c r="B328" s="49"/>
      <c r="C328" s="49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</row>
    <row r="329" spans="1:17">
      <c r="A329" s="50"/>
      <c r="B329" s="49"/>
      <c r="C329" s="49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</row>
    <row r="330" spans="1:17">
      <c r="A330" s="50"/>
      <c r="B330" s="49"/>
      <c r="C330" s="49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</row>
    <row r="331" spans="1:17">
      <c r="A331" s="50"/>
      <c r="B331" s="49"/>
      <c r="C331" s="49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</row>
    <row r="332" spans="1:17">
      <c r="A332" s="50"/>
      <c r="B332" s="49"/>
      <c r="C332" s="49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</row>
    <row r="333" spans="1:17">
      <c r="A333" s="50"/>
      <c r="B333" s="49"/>
      <c r="C333" s="49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</row>
    <row r="334" spans="1:17">
      <c r="A334" s="50"/>
      <c r="B334" s="49"/>
      <c r="C334" s="49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</row>
    <row r="335" spans="1:17">
      <c r="A335" s="50"/>
      <c r="B335" s="49"/>
      <c r="C335" s="49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</row>
    <row r="336" spans="1:17">
      <c r="A336" s="50"/>
      <c r="B336" s="49"/>
      <c r="C336" s="49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</row>
    <row r="337" spans="1:17">
      <c r="A337" s="50"/>
      <c r="B337" s="49"/>
      <c r="C337" s="49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</row>
    <row r="338" spans="1:17">
      <c r="A338" s="50"/>
      <c r="B338" s="49"/>
      <c r="C338" s="49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</row>
    <row r="339" spans="1:17">
      <c r="A339" s="50"/>
      <c r="B339" s="49"/>
      <c r="C339" s="49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</row>
    <row r="340" spans="1:17">
      <c r="A340" s="50"/>
      <c r="B340" s="49"/>
      <c r="C340" s="49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</row>
    <row r="341" spans="1:17">
      <c r="A341" s="50"/>
      <c r="B341" s="49"/>
      <c r="C341" s="49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</row>
    <row r="342" spans="1:17">
      <c r="A342" s="50"/>
      <c r="B342" s="49"/>
      <c r="C342" s="49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</row>
    <row r="343" spans="1:17">
      <c r="A343" s="50"/>
      <c r="B343" s="49"/>
      <c r="C343" s="49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</row>
    <row r="344" spans="1:17">
      <c r="A344" s="50"/>
      <c r="B344" s="49"/>
      <c r="C344" s="49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</row>
    <row r="345" spans="1:17">
      <c r="A345" s="50"/>
      <c r="B345" s="49"/>
      <c r="C345" s="49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</row>
    <row r="346" spans="1:17">
      <c r="A346" s="50"/>
      <c r="B346" s="49"/>
      <c r="C346" s="49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</row>
    <row r="347" spans="1:17">
      <c r="A347" s="50"/>
      <c r="B347" s="49"/>
      <c r="C347" s="49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</row>
    <row r="348" spans="1:17">
      <c r="A348" s="50"/>
      <c r="B348" s="49"/>
      <c r="C348" s="49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</row>
    <row r="349" spans="1:17">
      <c r="A349" s="50"/>
      <c r="B349" s="49"/>
      <c r="C349" s="49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</row>
    <row r="350" spans="1:17">
      <c r="A350" s="50"/>
      <c r="B350" s="49"/>
      <c r="C350" s="49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</row>
    <row r="351" spans="1:17">
      <c r="A351" s="50"/>
      <c r="B351" s="49"/>
      <c r="C351" s="49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</row>
    <row r="352" spans="1:17">
      <c r="A352" s="50"/>
      <c r="B352" s="49"/>
      <c r="C352" s="49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</row>
    <row r="353" spans="1:17">
      <c r="A353" s="50"/>
      <c r="B353" s="49"/>
      <c r="C353" s="49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</row>
    <row r="354" spans="1:17">
      <c r="A354" s="50"/>
      <c r="B354" s="49"/>
      <c r="C354" s="49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</row>
    <row r="355" spans="1:17">
      <c r="A355" s="50"/>
      <c r="B355" s="49"/>
      <c r="C355" s="49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</row>
    <row r="356" spans="1:17">
      <c r="A356" s="50"/>
      <c r="B356" s="49"/>
      <c r="C356" s="49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</row>
    <row r="357" spans="1:17">
      <c r="A357" s="50"/>
      <c r="B357" s="49"/>
      <c r="C357" s="49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</row>
    <row r="358" spans="1:17">
      <c r="A358" s="50"/>
      <c r="B358" s="49"/>
      <c r="C358" s="49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</row>
    <row r="359" spans="1:17">
      <c r="A359" s="50"/>
      <c r="B359" s="49"/>
      <c r="C359" s="49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</row>
    <row r="360" spans="1:17">
      <c r="A360" s="50"/>
      <c r="B360" s="49"/>
      <c r="C360" s="49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</row>
    <row r="361" spans="1:17">
      <c r="A361" s="50"/>
      <c r="B361" s="49"/>
      <c r="C361" s="49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</row>
    <row r="362" spans="1:17">
      <c r="A362" s="50"/>
      <c r="B362" s="49"/>
      <c r="C362" s="49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</row>
    <row r="363" spans="1:17">
      <c r="A363" s="50"/>
      <c r="B363" s="49"/>
      <c r="C363" s="49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</row>
    <row r="364" spans="1:17">
      <c r="A364" s="50"/>
      <c r="B364" s="49"/>
      <c r="C364" s="49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</row>
    <row r="365" spans="1:17">
      <c r="A365" s="50"/>
      <c r="B365" s="49"/>
      <c r="C365" s="49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</row>
    <row r="366" spans="1:17">
      <c r="A366" s="50"/>
      <c r="B366" s="49"/>
      <c r="C366" s="49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</row>
    <row r="367" spans="1:17">
      <c r="A367" s="50"/>
      <c r="B367" s="49"/>
      <c r="C367" s="49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</row>
    <row r="368" spans="1:17">
      <c r="A368" s="50"/>
      <c r="B368" s="49"/>
      <c r="C368" s="49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</row>
    <row r="369" spans="1:17">
      <c r="A369" s="50"/>
      <c r="B369" s="49"/>
      <c r="C369" s="49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</row>
    <row r="370" spans="1:17">
      <c r="A370" s="50"/>
      <c r="B370" s="49"/>
      <c r="C370" s="49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</row>
    <row r="371" spans="1:17">
      <c r="A371" s="50"/>
      <c r="B371" s="49"/>
      <c r="C371" s="49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</row>
    <row r="372" spans="1:17">
      <c r="A372" s="50"/>
      <c r="B372" s="49"/>
      <c r="C372" s="49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</row>
    <row r="373" spans="1:17">
      <c r="A373" s="50"/>
      <c r="B373" s="49"/>
      <c r="C373" s="49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</row>
    <row r="374" spans="1:17">
      <c r="A374" s="50"/>
      <c r="B374" s="49"/>
      <c r="C374" s="49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</row>
    <row r="375" spans="1:17">
      <c r="A375" s="50"/>
      <c r="B375" s="49"/>
      <c r="C375" s="49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</row>
    <row r="376" spans="1:17">
      <c r="A376" s="50"/>
      <c r="B376" s="49"/>
      <c r="C376" s="49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</row>
    <row r="377" spans="1:17">
      <c r="A377" s="50"/>
      <c r="B377" s="49"/>
      <c r="C377" s="49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</row>
    <row r="378" spans="1:17">
      <c r="A378" s="50"/>
      <c r="B378" s="49"/>
      <c r="C378" s="49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</row>
    <row r="379" spans="1:17">
      <c r="A379" s="50"/>
      <c r="B379" s="49"/>
      <c r="C379" s="49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</row>
    <row r="380" spans="1:17">
      <c r="A380" s="50"/>
      <c r="B380" s="49"/>
      <c r="C380" s="49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</row>
    <row r="381" spans="1:17">
      <c r="A381" s="50"/>
      <c r="B381" s="49"/>
      <c r="C381" s="49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</row>
    <row r="382" spans="1:17">
      <c r="A382" s="50"/>
      <c r="B382" s="49"/>
      <c r="C382" s="49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</row>
    <row r="383" spans="1:17">
      <c r="A383" s="50"/>
      <c r="B383" s="49"/>
      <c r="C383" s="49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</row>
    <row r="384" spans="1:17">
      <c r="A384" s="50"/>
      <c r="B384" s="49"/>
      <c r="C384" s="49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</row>
    <row r="385" spans="1:17">
      <c r="A385" s="50"/>
      <c r="B385" s="49"/>
      <c r="C385" s="49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</row>
    <row r="386" spans="1:17">
      <c r="A386" s="50"/>
      <c r="B386" s="49"/>
      <c r="C386" s="49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</row>
    <row r="387" spans="1:17">
      <c r="A387" s="50"/>
      <c r="B387" s="49"/>
      <c r="C387" s="49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</row>
    <row r="388" spans="1:17">
      <c r="A388" s="50"/>
      <c r="B388" s="49"/>
      <c r="C388" s="49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</row>
    <row r="389" spans="1:17">
      <c r="A389" s="50"/>
      <c r="B389" s="49"/>
      <c r="C389" s="49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</row>
    <row r="390" spans="1:17">
      <c r="A390" s="50"/>
      <c r="B390" s="49"/>
      <c r="C390" s="49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</row>
    <row r="391" spans="1:17">
      <c r="A391" s="50"/>
      <c r="B391" s="49"/>
      <c r="C391" s="49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</row>
    <row r="392" spans="1:17">
      <c r="A392" s="50"/>
      <c r="B392" s="49"/>
      <c r="C392" s="49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</row>
    <row r="393" spans="1:17">
      <c r="A393" s="50"/>
      <c r="B393" s="49"/>
      <c r="C393" s="49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</row>
    <row r="394" spans="1:17">
      <c r="A394" s="50"/>
      <c r="B394" s="49"/>
      <c r="C394" s="49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</row>
    <row r="395" spans="1:17">
      <c r="A395" s="50"/>
      <c r="B395" s="49"/>
      <c r="C395" s="49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</row>
    <row r="396" spans="1:17">
      <c r="A396" s="50"/>
      <c r="B396" s="49"/>
      <c r="C396" s="49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</row>
    <row r="397" spans="1:17">
      <c r="A397" s="50"/>
      <c r="B397" s="49"/>
      <c r="C397" s="49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</row>
    <row r="398" spans="1:17">
      <c r="A398" s="50"/>
      <c r="B398" s="49"/>
      <c r="C398" s="49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</row>
    <row r="399" spans="1:17">
      <c r="A399" s="50"/>
      <c r="B399" s="49"/>
      <c r="C399" s="49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</row>
    <row r="400" spans="1:17">
      <c r="A400" s="50"/>
      <c r="B400" s="49"/>
      <c r="C400" s="49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</row>
    <row r="401" spans="1:17">
      <c r="A401" s="50"/>
      <c r="B401" s="49"/>
      <c r="C401" s="49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</row>
    <row r="402" spans="1:17">
      <c r="A402" s="50"/>
      <c r="B402" s="49"/>
      <c r="C402" s="49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</row>
    <row r="403" spans="1:17">
      <c r="A403" s="50"/>
      <c r="B403" s="49"/>
      <c r="C403" s="49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</row>
    <row r="404" spans="1:17">
      <c r="A404" s="50"/>
      <c r="B404" s="49"/>
      <c r="C404" s="49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</row>
    <row r="405" spans="1:17">
      <c r="A405" s="50"/>
      <c r="B405" s="49"/>
      <c r="C405" s="49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</row>
    <row r="406" spans="1:17">
      <c r="A406" s="50"/>
      <c r="B406" s="49"/>
      <c r="C406" s="49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</row>
    <row r="407" spans="1:17">
      <c r="A407" s="50"/>
      <c r="B407" s="49"/>
      <c r="C407" s="49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</row>
    <row r="408" spans="1:17">
      <c r="A408" s="50"/>
      <c r="B408" s="49"/>
      <c r="C408" s="49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</row>
    <row r="409" spans="1:17">
      <c r="A409" s="50"/>
      <c r="B409" s="49"/>
      <c r="C409" s="49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</row>
    <row r="410" spans="1:17">
      <c r="A410" s="50"/>
      <c r="B410" s="49"/>
      <c r="C410" s="49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</row>
    <row r="411" spans="1:17">
      <c r="A411" s="50"/>
      <c r="B411" s="49"/>
      <c r="C411" s="49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</row>
    <row r="412" spans="1:17">
      <c r="A412" s="50"/>
      <c r="B412" s="49"/>
      <c r="C412" s="49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</row>
    <row r="413" spans="1:17">
      <c r="A413" s="50"/>
      <c r="B413" s="49"/>
      <c r="C413" s="49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</row>
    <row r="414" spans="1:17">
      <c r="A414" s="50"/>
      <c r="B414" s="49"/>
      <c r="C414" s="49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</row>
    <row r="415" spans="1:17">
      <c r="A415" s="50"/>
      <c r="B415" s="49"/>
      <c r="C415" s="49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</row>
    <row r="416" spans="1:17">
      <c r="A416" s="50"/>
      <c r="B416" s="49"/>
      <c r="C416" s="49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</row>
    <row r="417" spans="1:17">
      <c r="A417" s="50"/>
      <c r="B417" s="49"/>
      <c r="C417" s="49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</row>
    <row r="418" spans="1:17">
      <c r="A418" s="50"/>
      <c r="B418" s="49"/>
      <c r="C418" s="49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</row>
    <row r="419" spans="1:17">
      <c r="A419" s="50"/>
      <c r="B419" s="49"/>
      <c r="C419" s="49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</row>
    <row r="420" spans="1:17">
      <c r="A420" s="50"/>
      <c r="B420" s="49"/>
      <c r="C420" s="49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</row>
    <row r="421" spans="1:17">
      <c r="A421" s="50"/>
      <c r="B421" s="49"/>
      <c r="C421" s="49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</row>
    <row r="422" spans="1:17">
      <c r="A422" s="50"/>
      <c r="B422" s="49"/>
      <c r="C422" s="49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</row>
    <row r="423" spans="1:17">
      <c r="A423" s="50"/>
      <c r="B423" s="49"/>
      <c r="C423" s="49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</row>
    <row r="424" spans="1:17">
      <c r="A424" s="50"/>
      <c r="B424" s="49"/>
      <c r="C424" s="49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</row>
    <row r="425" spans="1:17">
      <c r="A425" s="50"/>
      <c r="B425" s="49"/>
      <c r="C425" s="49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</row>
    <row r="426" spans="1:17">
      <c r="A426" s="50"/>
      <c r="B426" s="49"/>
      <c r="C426" s="49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</row>
    <row r="427" spans="1:17">
      <c r="A427" s="50"/>
      <c r="B427" s="49"/>
      <c r="C427" s="49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</row>
    <row r="428" spans="1:17">
      <c r="A428" s="50"/>
      <c r="B428" s="49"/>
      <c r="C428" s="49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</row>
    <row r="429" spans="1:17">
      <c r="A429" s="50"/>
      <c r="B429" s="49"/>
      <c r="C429" s="49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</row>
    <row r="430" spans="1:17">
      <c r="A430" s="50"/>
      <c r="B430" s="49"/>
      <c r="C430" s="49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</row>
    <row r="431" spans="1:17">
      <c r="A431" s="50"/>
      <c r="B431" s="49"/>
      <c r="C431" s="49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</row>
    <row r="432" spans="1:17">
      <c r="A432" s="50"/>
      <c r="B432" s="49"/>
      <c r="C432" s="49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</row>
    <row r="433" spans="1:17">
      <c r="A433" s="50"/>
      <c r="B433" s="49"/>
      <c r="C433" s="49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</row>
    <row r="434" spans="1:17">
      <c r="A434" s="50"/>
      <c r="B434" s="49"/>
      <c r="C434" s="49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</row>
    <row r="435" spans="1:17">
      <c r="A435" s="50"/>
      <c r="B435" s="49"/>
      <c r="C435" s="49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</row>
    <row r="436" spans="1:17">
      <c r="A436" s="50"/>
      <c r="B436" s="49"/>
      <c r="C436" s="49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</row>
    <row r="437" spans="1:17">
      <c r="A437" s="50"/>
      <c r="B437" s="49"/>
      <c r="C437" s="49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</row>
    <row r="438" spans="1:17">
      <c r="A438" s="50"/>
      <c r="B438" s="49"/>
      <c r="C438" s="49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</row>
    <row r="439" spans="1:17">
      <c r="A439" s="50"/>
      <c r="B439" s="49"/>
      <c r="C439" s="49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</row>
    <row r="440" spans="1:17">
      <c r="A440" s="50"/>
      <c r="B440" s="49"/>
      <c r="C440" s="49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</row>
    <row r="441" spans="1:17">
      <c r="A441" s="50"/>
      <c r="B441" s="49"/>
      <c r="C441" s="49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</row>
    <row r="442" spans="1:17">
      <c r="A442" s="50"/>
      <c r="B442" s="49"/>
      <c r="C442" s="49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</row>
    <row r="443" spans="1:17">
      <c r="A443" s="50"/>
      <c r="B443" s="49"/>
      <c r="C443" s="49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</row>
    <row r="444" spans="1:17">
      <c r="A444" s="50"/>
      <c r="B444" s="49"/>
      <c r="C444" s="49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</row>
    <row r="445" spans="1:17">
      <c r="A445" s="50"/>
      <c r="B445" s="49"/>
      <c r="C445" s="49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</row>
    <row r="446" spans="1:17">
      <c r="A446" s="50"/>
      <c r="B446" s="49"/>
      <c r="C446" s="49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</row>
    <row r="447" spans="1:17">
      <c r="A447" s="50"/>
      <c r="B447" s="49"/>
      <c r="C447" s="49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</row>
    <row r="448" spans="1:17">
      <c r="A448" s="50"/>
      <c r="B448" s="49"/>
      <c r="C448" s="49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</row>
    <row r="449" spans="1:17">
      <c r="A449" s="50"/>
      <c r="B449" s="49"/>
      <c r="C449" s="49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</row>
    <row r="450" spans="1:17">
      <c r="A450" s="50"/>
      <c r="B450" s="49"/>
      <c r="C450" s="49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</row>
    <row r="451" spans="1:17">
      <c r="A451" s="50"/>
      <c r="B451" s="49"/>
      <c r="C451" s="49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</row>
    <row r="452" spans="1:17">
      <c r="A452" s="50"/>
      <c r="B452" s="49"/>
      <c r="C452" s="49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</row>
    <row r="453" spans="1:17">
      <c r="A453" s="50"/>
      <c r="B453" s="49"/>
      <c r="C453" s="49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</row>
    <row r="454" spans="1:17">
      <c r="A454" s="50"/>
      <c r="B454" s="49"/>
      <c r="C454" s="49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</row>
    <row r="455" spans="1:17">
      <c r="A455" s="50"/>
      <c r="B455" s="49"/>
      <c r="C455" s="49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</row>
    <row r="456" spans="1:17">
      <c r="A456" s="50"/>
      <c r="B456" s="49"/>
      <c r="C456" s="49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</row>
    <row r="457" spans="1:17">
      <c r="A457" s="50"/>
      <c r="B457" s="49"/>
      <c r="C457" s="49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</row>
    <row r="458" spans="1:17">
      <c r="A458" s="50"/>
      <c r="B458" s="49"/>
      <c r="C458" s="49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</row>
    <row r="459" spans="1:17">
      <c r="A459" s="50"/>
      <c r="B459" s="49"/>
      <c r="C459" s="49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</row>
    <row r="460" spans="1:17">
      <c r="A460" s="50"/>
      <c r="B460" s="49"/>
      <c r="C460" s="49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</row>
    <row r="461" spans="1:17">
      <c r="A461" s="50"/>
      <c r="B461" s="49"/>
      <c r="C461" s="49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</row>
    <row r="462" spans="1:17">
      <c r="A462" s="50"/>
      <c r="B462" s="49"/>
      <c r="C462" s="49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</row>
    <row r="463" spans="1:17">
      <c r="A463" s="50"/>
      <c r="B463" s="49"/>
      <c r="C463" s="49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</row>
    <row r="464" spans="1:17">
      <c r="A464" s="50"/>
      <c r="B464" s="49"/>
      <c r="C464" s="49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</row>
    <row r="465" spans="1:17">
      <c r="A465" s="50"/>
      <c r="B465" s="49"/>
      <c r="C465" s="49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</row>
    <row r="466" spans="1:17">
      <c r="A466" s="50"/>
      <c r="B466" s="49"/>
      <c r="C466" s="49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</row>
    <row r="467" spans="1:17">
      <c r="A467" s="50"/>
      <c r="B467" s="49"/>
      <c r="C467" s="49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</row>
    <row r="468" spans="1:17">
      <c r="A468" s="50"/>
      <c r="B468" s="49"/>
      <c r="C468" s="49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</row>
    <row r="469" spans="1:17">
      <c r="A469" s="50"/>
      <c r="B469" s="49"/>
      <c r="C469" s="49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</row>
    <row r="470" spans="1:17">
      <c r="A470" s="50"/>
      <c r="B470" s="49"/>
      <c r="C470" s="49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</row>
    <row r="471" spans="1:17">
      <c r="A471" s="50"/>
      <c r="B471" s="49"/>
      <c r="C471" s="49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</row>
    <row r="472" spans="1:17">
      <c r="A472" s="50"/>
      <c r="B472" s="49"/>
      <c r="C472" s="49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</row>
    <row r="473" spans="1:17">
      <c r="A473" s="50"/>
      <c r="B473" s="49"/>
      <c r="C473" s="49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</row>
    <row r="474" spans="1:17">
      <c r="A474" s="50"/>
      <c r="B474" s="49"/>
      <c r="C474" s="49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</row>
    <row r="475" spans="1:17">
      <c r="A475" s="50"/>
      <c r="B475" s="49"/>
      <c r="C475" s="49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</row>
    <row r="476" spans="1:17">
      <c r="A476" s="50"/>
      <c r="B476" s="49"/>
      <c r="C476" s="49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</row>
    <row r="477" spans="1:17">
      <c r="A477" s="50"/>
      <c r="B477" s="49"/>
      <c r="C477" s="49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</row>
    <row r="478" spans="1:17">
      <c r="A478" s="50"/>
      <c r="B478" s="49"/>
      <c r="C478" s="49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</row>
    <row r="479" spans="1:17">
      <c r="A479" s="50"/>
      <c r="B479" s="49"/>
      <c r="C479" s="49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</row>
    <row r="480" spans="1:17">
      <c r="A480" s="50"/>
      <c r="B480" s="49"/>
      <c r="C480" s="49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</row>
    <row r="481" spans="1:17">
      <c r="A481" s="50"/>
      <c r="B481" s="49"/>
      <c r="C481" s="49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</row>
    <row r="482" spans="1:17">
      <c r="A482" s="50"/>
      <c r="B482" s="49"/>
      <c r="C482" s="49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</row>
    <row r="483" spans="1:17">
      <c r="A483" s="50"/>
      <c r="B483" s="49"/>
      <c r="C483" s="49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</row>
    <row r="484" spans="1:17">
      <c r="A484" s="50"/>
      <c r="B484" s="49"/>
      <c r="C484" s="49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</row>
    <row r="485" spans="1:17">
      <c r="A485" s="50"/>
      <c r="B485" s="49"/>
      <c r="C485" s="49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</row>
    <row r="486" spans="1:17">
      <c r="A486" s="50"/>
      <c r="B486" s="49"/>
      <c r="C486" s="49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</row>
    <row r="487" spans="1:17">
      <c r="A487" s="50"/>
      <c r="B487" s="49"/>
      <c r="C487" s="49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</row>
    <row r="488" spans="1:17">
      <c r="A488" s="50"/>
      <c r="B488" s="49"/>
      <c r="C488" s="49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</row>
    <row r="489" spans="1:17">
      <c r="A489" s="50"/>
      <c r="B489" s="49"/>
      <c r="C489" s="49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</row>
    <row r="490" spans="1:17">
      <c r="A490" s="50"/>
      <c r="B490" s="49"/>
      <c r="C490" s="49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</row>
    <row r="491" spans="1:17">
      <c r="A491" s="50"/>
      <c r="B491" s="49"/>
      <c r="C491" s="49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</row>
    <row r="492" spans="1:17">
      <c r="A492" s="50"/>
      <c r="B492" s="49"/>
      <c r="C492" s="49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</row>
    <row r="493" spans="1:17">
      <c r="A493" s="50"/>
      <c r="B493" s="49"/>
      <c r="C493" s="49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</row>
    <row r="494" spans="1:17">
      <c r="A494" s="50"/>
      <c r="B494" s="49"/>
      <c r="C494" s="49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</row>
    <row r="495" spans="1:17">
      <c r="A495" s="50"/>
      <c r="B495" s="49"/>
      <c r="C495" s="49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</row>
    <row r="496" spans="1:17">
      <c r="A496" s="50"/>
      <c r="B496" s="49"/>
      <c r="C496" s="49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</row>
    <row r="497" spans="1:17">
      <c r="A497" s="50"/>
      <c r="B497" s="49"/>
      <c r="C497" s="49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</row>
    <row r="498" spans="1:17">
      <c r="A498" s="50"/>
      <c r="B498" s="49"/>
      <c r="C498" s="49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</row>
    <row r="499" spans="1:17">
      <c r="A499" s="50"/>
      <c r="B499" s="49"/>
      <c r="C499" s="49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</row>
    <row r="500" spans="1:17">
      <c r="A500" s="50"/>
      <c r="B500" s="49"/>
      <c r="C500" s="49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</row>
    <row r="501" spans="1:17">
      <c r="A501" s="50"/>
      <c r="B501" s="49"/>
      <c r="C501" s="49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</row>
    <row r="502" spans="1:17">
      <c r="A502" s="50"/>
      <c r="B502" s="49"/>
      <c r="C502" s="49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</row>
    <row r="503" spans="1:17">
      <c r="A503" s="50"/>
      <c r="B503" s="49"/>
      <c r="C503" s="49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</row>
  </sheetData>
  <phoneticPr fontId="12" type="noConversion"/>
  <pageMargins left="0.7" right="0.7" top="0.75" bottom="0.75" header="0.3" footer="0.3"/>
  <ignoredErrors>
    <ignoredError sqref="Q7" calculatedColumn="1"/>
  </ignoredErrors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00"/>
  <sheetViews>
    <sheetView workbookViewId="0"/>
  </sheetViews>
  <sheetFormatPr baseColWidth="10" defaultColWidth="8.6640625" defaultRowHeight="14"/>
  <cols>
    <col min="1" max="1" width="9.25" customWidth="1"/>
    <col min="2" max="2" width="11.75" customWidth="1"/>
    <col min="3" max="3" width="17" customWidth="1"/>
    <col min="4" max="4" width="11.58203125" customWidth="1"/>
    <col min="5" max="5" width="29.58203125" customWidth="1"/>
    <col min="6" max="6" width="13.1640625" customWidth="1"/>
    <col min="7" max="7" width="16.5" customWidth="1"/>
    <col min="8" max="8" width="9.75" customWidth="1"/>
    <col min="9" max="9" width="18.75" customWidth="1"/>
  </cols>
  <sheetData>
    <row r="1" spans="1:9" ht="15.15" customHeight="1">
      <c r="A1" s="5" t="s">
        <v>0</v>
      </c>
      <c r="B1" s="5" t="s">
        <v>1</v>
      </c>
      <c r="C1" s="5" t="s">
        <v>159</v>
      </c>
      <c r="D1" s="5" t="s">
        <v>112</v>
      </c>
      <c r="E1" s="5" t="s">
        <v>160</v>
      </c>
      <c r="F1" s="5" t="s">
        <v>8</v>
      </c>
      <c r="G1" s="5" t="s">
        <v>161</v>
      </c>
      <c r="H1" s="5" t="s">
        <v>9</v>
      </c>
      <c r="I1" s="5" t="s">
        <v>114</v>
      </c>
    </row>
    <row r="2" spans="1:9" ht="17.75" customHeight="1">
      <c r="A2" s="20">
        <v>46207</v>
      </c>
      <c r="B2" s="21" t="s">
        <v>21</v>
      </c>
      <c r="C2" s="21" t="s">
        <v>162</v>
      </c>
      <c r="D2" s="22" t="s">
        <v>68</v>
      </c>
      <c r="E2" s="21" t="s">
        <v>163</v>
      </c>
      <c r="F2" s="21" t="s">
        <v>157</v>
      </c>
      <c r="G2" s="20">
        <v>46207</v>
      </c>
      <c r="H2" s="21" t="s">
        <v>13</v>
      </c>
      <c r="I2" s="21" t="s">
        <v>164</v>
      </c>
    </row>
    <row r="3" spans="1:9" ht="17.75" customHeight="1">
      <c r="A3" s="20">
        <v>46210</v>
      </c>
      <c r="B3" s="21" t="s">
        <v>18</v>
      </c>
      <c r="C3" s="21" t="s">
        <v>19</v>
      </c>
      <c r="D3" s="22" t="s">
        <v>83</v>
      </c>
      <c r="E3" s="21" t="s">
        <v>165</v>
      </c>
      <c r="F3" s="21" t="s">
        <v>166</v>
      </c>
      <c r="G3" s="20">
        <v>46219</v>
      </c>
      <c r="H3" s="21" t="s">
        <v>73</v>
      </c>
      <c r="I3" s="21" t="s">
        <v>167</v>
      </c>
    </row>
    <row r="4" spans="1:9" ht="17.75" customHeight="1">
      <c r="A4" s="20">
        <v>46211</v>
      </c>
      <c r="B4" s="21" t="s">
        <v>11</v>
      </c>
      <c r="C4" s="21" t="s">
        <v>168</v>
      </c>
      <c r="D4" s="22" t="s">
        <v>76</v>
      </c>
      <c r="E4" s="21" t="s">
        <v>169</v>
      </c>
      <c r="F4" s="21" t="s">
        <v>118</v>
      </c>
      <c r="G4" s="20">
        <v>46223</v>
      </c>
      <c r="H4" s="21" t="s">
        <v>66</v>
      </c>
      <c r="I4" s="21" t="s">
        <v>170</v>
      </c>
    </row>
    <row r="5" spans="1:9" ht="17.75" customHeight="1">
      <c r="A5" s="20">
        <v>46212</v>
      </c>
      <c r="B5" s="21" t="s">
        <v>16</v>
      </c>
      <c r="C5" s="21" t="s">
        <v>171</v>
      </c>
      <c r="D5" s="22" t="s">
        <v>68</v>
      </c>
      <c r="E5" s="21" t="s">
        <v>172</v>
      </c>
      <c r="F5" s="21" t="s">
        <v>173</v>
      </c>
      <c r="G5" s="20">
        <v>46212</v>
      </c>
      <c r="H5" s="21" t="s">
        <v>13</v>
      </c>
      <c r="I5" s="21" t="s">
        <v>174</v>
      </c>
    </row>
    <row r="6" spans="1:9" ht="17.75" customHeight="1">
      <c r="A6" s="20">
        <v>46213</v>
      </c>
      <c r="B6" s="21" t="s">
        <v>14</v>
      </c>
      <c r="C6" s="21" t="s">
        <v>175</v>
      </c>
      <c r="D6" s="22" t="s">
        <v>83</v>
      </c>
      <c r="E6" s="21" t="s">
        <v>176</v>
      </c>
      <c r="F6" s="21" t="s">
        <v>143</v>
      </c>
      <c r="G6" s="20">
        <v>46221</v>
      </c>
      <c r="H6" s="21" t="s">
        <v>66</v>
      </c>
      <c r="I6" s="21" t="s">
        <v>177</v>
      </c>
    </row>
    <row r="7" spans="1:9">
      <c r="A7" s="19"/>
      <c r="B7" s="16"/>
      <c r="C7" s="16"/>
      <c r="D7" s="23"/>
      <c r="E7" s="16"/>
      <c r="F7" s="16"/>
      <c r="G7" s="19"/>
      <c r="H7" s="16"/>
      <c r="I7" s="16"/>
    </row>
    <row r="8" spans="1:9">
      <c r="A8" s="19"/>
      <c r="B8" s="16"/>
      <c r="C8" s="16"/>
      <c r="D8" s="23"/>
      <c r="E8" s="16"/>
      <c r="F8" s="16"/>
      <c r="G8" s="19"/>
      <c r="H8" s="16"/>
      <c r="I8" s="16"/>
    </row>
    <row r="9" spans="1:9">
      <c r="A9" s="19"/>
      <c r="B9" s="16"/>
      <c r="C9" s="16"/>
      <c r="D9" s="23"/>
      <c r="E9" s="16"/>
      <c r="F9" s="16"/>
      <c r="G9" s="19"/>
      <c r="H9" s="16"/>
      <c r="I9" s="16"/>
    </row>
    <row r="10" spans="1:9">
      <c r="A10" s="19"/>
      <c r="B10" s="16"/>
      <c r="C10" s="16"/>
      <c r="D10" s="23"/>
      <c r="E10" s="16"/>
      <c r="F10" s="16"/>
      <c r="G10" s="19"/>
      <c r="H10" s="16"/>
      <c r="I10" s="16"/>
    </row>
    <row r="11" spans="1:9">
      <c r="A11" s="19"/>
      <c r="B11" s="16"/>
      <c r="C11" s="16"/>
      <c r="D11" s="23"/>
      <c r="E11" s="16"/>
      <c r="F11" s="16"/>
      <c r="G11" s="19"/>
      <c r="H11" s="16"/>
      <c r="I11" s="16"/>
    </row>
    <row r="12" spans="1:9">
      <c r="A12" s="19"/>
      <c r="B12" s="16"/>
      <c r="C12" s="16"/>
      <c r="D12" s="23"/>
      <c r="E12" s="16"/>
      <c r="F12" s="16"/>
      <c r="G12" s="19"/>
      <c r="H12" s="16"/>
      <c r="I12" s="16"/>
    </row>
    <row r="13" spans="1:9">
      <c r="A13" s="19"/>
      <c r="B13" s="16"/>
      <c r="C13" s="16"/>
      <c r="D13" s="23"/>
      <c r="E13" s="16"/>
      <c r="F13" s="16"/>
      <c r="G13" s="19"/>
      <c r="H13" s="16"/>
      <c r="I13" s="16"/>
    </row>
    <row r="14" spans="1:9">
      <c r="A14" s="19"/>
      <c r="B14" s="16"/>
      <c r="C14" s="16"/>
      <c r="D14" s="23"/>
      <c r="E14" s="16"/>
      <c r="F14" s="16"/>
      <c r="G14" s="19"/>
      <c r="H14" s="16"/>
      <c r="I14" s="16"/>
    </row>
    <row r="15" spans="1:9">
      <c r="A15" s="19"/>
      <c r="B15" s="16"/>
      <c r="C15" s="16"/>
      <c r="D15" s="23"/>
      <c r="E15" s="16"/>
      <c r="F15" s="16"/>
      <c r="G15" s="19"/>
      <c r="H15" s="16"/>
      <c r="I15" s="16"/>
    </row>
    <row r="16" spans="1:9">
      <c r="A16" s="19"/>
      <c r="B16" s="16"/>
      <c r="C16" s="16"/>
      <c r="D16" s="23"/>
      <c r="E16" s="16"/>
      <c r="F16" s="16"/>
      <c r="G16" s="19"/>
      <c r="H16" s="16"/>
      <c r="I16" s="16"/>
    </row>
    <row r="17" spans="1:9">
      <c r="A17" s="19"/>
      <c r="B17" s="16"/>
      <c r="C17" s="16"/>
      <c r="D17" s="23"/>
      <c r="E17" s="16"/>
      <c r="F17" s="16"/>
      <c r="G17" s="19"/>
      <c r="H17" s="16"/>
      <c r="I17" s="16"/>
    </row>
    <row r="18" spans="1:9">
      <c r="A18" s="19"/>
      <c r="B18" s="16"/>
      <c r="C18" s="16"/>
      <c r="D18" s="23"/>
      <c r="E18" s="16"/>
      <c r="F18" s="16"/>
      <c r="G18" s="19"/>
      <c r="H18" s="16"/>
      <c r="I18" s="16"/>
    </row>
    <row r="19" spans="1:9">
      <c r="A19" s="19"/>
      <c r="B19" s="16"/>
      <c r="C19" s="16"/>
      <c r="D19" s="23"/>
      <c r="E19" s="16"/>
      <c r="F19" s="16"/>
      <c r="G19" s="19"/>
      <c r="H19" s="16"/>
      <c r="I19" s="16"/>
    </row>
    <row r="20" spans="1:9">
      <c r="A20" s="19"/>
      <c r="B20" s="16"/>
      <c r="C20" s="16"/>
      <c r="D20" s="23"/>
      <c r="E20" s="16"/>
      <c r="F20" s="16"/>
      <c r="G20" s="19"/>
      <c r="H20" s="16"/>
      <c r="I20" s="16"/>
    </row>
    <row r="21" spans="1:9">
      <c r="A21" s="19"/>
      <c r="B21" s="16"/>
      <c r="C21" s="16"/>
      <c r="D21" s="23"/>
      <c r="E21" s="16"/>
      <c r="F21" s="16"/>
      <c r="G21" s="19"/>
      <c r="H21" s="16"/>
      <c r="I21" s="16"/>
    </row>
    <row r="22" spans="1:9">
      <c r="A22" s="19"/>
      <c r="B22" s="16"/>
      <c r="C22" s="16"/>
      <c r="D22" s="23"/>
      <c r="E22" s="16"/>
      <c r="F22" s="16"/>
      <c r="G22" s="19"/>
      <c r="H22" s="16"/>
      <c r="I22" s="16"/>
    </row>
    <row r="23" spans="1:9">
      <c r="A23" s="19"/>
      <c r="B23" s="16"/>
      <c r="C23" s="16"/>
      <c r="D23" s="23"/>
      <c r="E23" s="16"/>
      <c r="F23" s="16"/>
      <c r="G23" s="19"/>
      <c r="H23" s="16"/>
      <c r="I23" s="16"/>
    </row>
    <row r="24" spans="1:9">
      <c r="A24" s="19"/>
      <c r="B24" s="16"/>
      <c r="C24" s="16"/>
      <c r="D24" s="23"/>
      <c r="E24" s="16"/>
      <c r="F24" s="16"/>
      <c r="G24" s="19"/>
      <c r="H24" s="16"/>
      <c r="I24" s="16"/>
    </row>
    <row r="25" spans="1:9">
      <c r="A25" s="19"/>
      <c r="B25" s="16"/>
      <c r="C25" s="16"/>
      <c r="D25" s="23"/>
      <c r="E25" s="16"/>
      <c r="F25" s="16"/>
      <c r="G25" s="19"/>
      <c r="H25" s="16"/>
      <c r="I25" s="16"/>
    </row>
    <row r="26" spans="1:9">
      <c r="A26" s="19"/>
      <c r="B26" s="16"/>
      <c r="C26" s="16"/>
      <c r="D26" s="23"/>
      <c r="E26" s="16"/>
      <c r="F26" s="16"/>
      <c r="G26" s="19"/>
      <c r="H26" s="16"/>
      <c r="I26" s="16"/>
    </row>
    <row r="27" spans="1:9">
      <c r="A27" s="19"/>
      <c r="B27" s="16"/>
      <c r="C27" s="16"/>
      <c r="D27" s="23"/>
      <c r="E27" s="16"/>
      <c r="F27" s="16"/>
      <c r="G27" s="19"/>
      <c r="H27" s="16"/>
      <c r="I27" s="16"/>
    </row>
    <row r="28" spans="1:9">
      <c r="A28" s="19"/>
      <c r="B28" s="16"/>
      <c r="C28" s="16"/>
      <c r="D28" s="23"/>
      <c r="E28" s="16"/>
      <c r="F28" s="16"/>
      <c r="G28" s="19"/>
      <c r="H28" s="16"/>
      <c r="I28" s="16"/>
    </row>
    <row r="29" spans="1:9">
      <c r="A29" s="19"/>
      <c r="B29" s="16"/>
      <c r="C29" s="16"/>
      <c r="D29" s="23"/>
      <c r="E29" s="16"/>
      <c r="F29" s="16"/>
      <c r="G29" s="19"/>
      <c r="H29" s="16"/>
      <c r="I29" s="16"/>
    </row>
    <row r="30" spans="1:9">
      <c r="A30" s="19"/>
      <c r="B30" s="16"/>
      <c r="C30" s="16"/>
      <c r="D30" s="23"/>
      <c r="E30" s="16"/>
      <c r="F30" s="16"/>
      <c r="G30" s="19"/>
      <c r="H30" s="16"/>
      <c r="I30" s="16"/>
    </row>
    <row r="31" spans="1:9">
      <c r="A31" s="19"/>
      <c r="B31" s="16"/>
      <c r="C31" s="16"/>
      <c r="D31" s="23"/>
      <c r="E31" s="16"/>
      <c r="F31" s="16"/>
      <c r="G31" s="19"/>
      <c r="H31" s="16"/>
      <c r="I31" s="16"/>
    </row>
    <row r="32" spans="1:9">
      <c r="A32" s="19"/>
      <c r="B32" s="16"/>
      <c r="C32" s="16"/>
      <c r="D32" s="23"/>
      <c r="E32" s="16"/>
      <c r="F32" s="16"/>
      <c r="G32" s="19"/>
      <c r="H32" s="16"/>
      <c r="I32" s="16"/>
    </row>
    <row r="33" spans="1:9">
      <c r="A33" s="19"/>
      <c r="B33" s="16"/>
      <c r="C33" s="16"/>
      <c r="D33" s="23"/>
      <c r="E33" s="16"/>
      <c r="F33" s="16"/>
      <c r="G33" s="19"/>
      <c r="H33" s="16"/>
      <c r="I33" s="16"/>
    </row>
    <row r="34" spans="1:9">
      <c r="A34" s="19"/>
      <c r="B34" s="16"/>
      <c r="C34" s="16"/>
      <c r="D34" s="23"/>
      <c r="E34" s="16"/>
      <c r="F34" s="16"/>
      <c r="G34" s="19"/>
      <c r="H34" s="16"/>
      <c r="I34" s="16"/>
    </row>
    <row r="35" spans="1:9">
      <c r="A35" s="19"/>
      <c r="B35" s="16"/>
      <c r="C35" s="16"/>
      <c r="D35" s="23"/>
      <c r="E35" s="16"/>
      <c r="F35" s="16"/>
      <c r="G35" s="19"/>
      <c r="H35" s="16"/>
      <c r="I35" s="16"/>
    </row>
    <row r="36" spans="1:9">
      <c r="A36" s="19"/>
      <c r="B36" s="16"/>
      <c r="C36" s="16"/>
      <c r="D36" s="23"/>
      <c r="E36" s="16"/>
      <c r="F36" s="16"/>
      <c r="G36" s="19"/>
      <c r="H36" s="16"/>
      <c r="I36" s="16"/>
    </row>
    <row r="37" spans="1:9">
      <c r="A37" s="19"/>
      <c r="B37" s="16"/>
      <c r="C37" s="16"/>
      <c r="D37" s="23"/>
      <c r="E37" s="16"/>
      <c r="F37" s="16"/>
      <c r="G37" s="19"/>
      <c r="H37" s="16"/>
      <c r="I37" s="16"/>
    </row>
    <row r="38" spans="1:9">
      <c r="A38" s="19"/>
      <c r="B38" s="16"/>
      <c r="C38" s="16"/>
      <c r="D38" s="23"/>
      <c r="E38" s="16"/>
      <c r="F38" s="16"/>
      <c r="G38" s="19"/>
      <c r="H38" s="16"/>
      <c r="I38" s="16"/>
    </row>
    <row r="39" spans="1:9">
      <c r="A39" s="19"/>
      <c r="B39" s="16"/>
      <c r="C39" s="16"/>
      <c r="D39" s="23"/>
      <c r="E39" s="16"/>
      <c r="F39" s="16"/>
      <c r="G39" s="19"/>
      <c r="H39" s="16"/>
      <c r="I39" s="16"/>
    </row>
    <row r="40" spans="1:9">
      <c r="A40" s="19"/>
      <c r="B40" s="16"/>
      <c r="C40" s="16"/>
      <c r="D40" s="23"/>
      <c r="E40" s="16"/>
      <c r="F40" s="16"/>
      <c r="G40" s="19"/>
      <c r="H40" s="16"/>
      <c r="I40" s="16"/>
    </row>
    <row r="41" spans="1:9">
      <c r="A41" s="19"/>
      <c r="B41" s="16"/>
      <c r="C41" s="16"/>
      <c r="D41" s="23"/>
      <c r="E41" s="16"/>
      <c r="F41" s="16"/>
      <c r="G41" s="19"/>
      <c r="H41" s="16"/>
      <c r="I41" s="16"/>
    </row>
    <row r="42" spans="1:9">
      <c r="A42" s="19"/>
      <c r="B42" s="16"/>
      <c r="C42" s="16"/>
      <c r="D42" s="23"/>
      <c r="E42" s="16"/>
      <c r="F42" s="16"/>
      <c r="G42" s="19"/>
      <c r="H42" s="16"/>
      <c r="I42" s="16"/>
    </row>
    <row r="43" spans="1:9">
      <c r="A43" s="19"/>
      <c r="B43" s="16"/>
      <c r="C43" s="16"/>
      <c r="D43" s="23"/>
      <c r="E43" s="16"/>
      <c r="F43" s="16"/>
      <c r="G43" s="19"/>
      <c r="H43" s="16"/>
      <c r="I43" s="16"/>
    </row>
    <row r="44" spans="1:9">
      <c r="A44" s="19"/>
      <c r="B44" s="16"/>
      <c r="C44" s="16"/>
      <c r="D44" s="23"/>
      <c r="E44" s="16"/>
      <c r="F44" s="16"/>
      <c r="G44" s="19"/>
      <c r="H44" s="16"/>
      <c r="I44" s="16"/>
    </row>
    <row r="45" spans="1:9">
      <c r="A45" s="19"/>
      <c r="B45" s="16"/>
      <c r="C45" s="16"/>
      <c r="D45" s="23"/>
      <c r="E45" s="16"/>
      <c r="F45" s="16"/>
      <c r="G45" s="19"/>
      <c r="H45" s="16"/>
      <c r="I45" s="16"/>
    </row>
    <row r="46" spans="1:9">
      <c r="A46" s="19"/>
      <c r="B46" s="16"/>
      <c r="C46" s="16"/>
      <c r="D46" s="23"/>
      <c r="E46" s="16"/>
      <c r="F46" s="16"/>
      <c r="G46" s="19"/>
      <c r="H46" s="16"/>
      <c r="I46" s="16"/>
    </row>
    <row r="47" spans="1:9">
      <c r="A47" s="19"/>
      <c r="B47" s="16"/>
      <c r="C47" s="16"/>
      <c r="D47" s="23"/>
      <c r="E47" s="16"/>
      <c r="F47" s="16"/>
      <c r="G47" s="19"/>
      <c r="H47" s="16"/>
      <c r="I47" s="16"/>
    </row>
    <row r="48" spans="1:9">
      <c r="A48" s="19"/>
      <c r="B48" s="16"/>
      <c r="C48" s="16"/>
      <c r="D48" s="23"/>
      <c r="E48" s="16"/>
      <c r="F48" s="16"/>
      <c r="G48" s="19"/>
      <c r="H48" s="16"/>
      <c r="I48" s="16"/>
    </row>
    <row r="49" spans="1:9">
      <c r="A49" s="19"/>
      <c r="B49" s="16"/>
      <c r="C49" s="16"/>
      <c r="D49" s="23"/>
      <c r="E49" s="16"/>
      <c r="F49" s="16"/>
      <c r="G49" s="19"/>
      <c r="H49" s="16"/>
      <c r="I49" s="16"/>
    </row>
    <row r="50" spans="1:9">
      <c r="A50" s="19"/>
      <c r="B50" s="16"/>
      <c r="C50" s="16"/>
      <c r="D50" s="23"/>
      <c r="E50" s="16"/>
      <c r="F50" s="16"/>
      <c r="G50" s="19"/>
      <c r="H50" s="16"/>
      <c r="I50" s="16"/>
    </row>
    <row r="51" spans="1:9">
      <c r="A51" s="19"/>
      <c r="B51" s="16"/>
      <c r="C51" s="16"/>
      <c r="D51" s="23"/>
      <c r="E51" s="16"/>
      <c r="F51" s="16"/>
      <c r="G51" s="19"/>
      <c r="H51" s="16"/>
      <c r="I51" s="16"/>
    </row>
    <row r="52" spans="1:9">
      <c r="A52" s="19"/>
      <c r="B52" s="16"/>
      <c r="C52" s="16"/>
      <c r="D52" s="23"/>
      <c r="E52" s="16"/>
      <c r="F52" s="16"/>
      <c r="G52" s="19"/>
      <c r="H52" s="16"/>
      <c r="I52" s="16"/>
    </row>
    <row r="53" spans="1:9">
      <c r="A53" s="19"/>
      <c r="B53" s="16"/>
      <c r="C53" s="16"/>
      <c r="D53" s="23"/>
      <c r="E53" s="16"/>
      <c r="F53" s="16"/>
      <c r="G53" s="19"/>
      <c r="H53" s="16"/>
      <c r="I53" s="16"/>
    </row>
    <row r="54" spans="1:9">
      <c r="A54" s="19"/>
      <c r="B54" s="16"/>
      <c r="C54" s="16"/>
      <c r="D54" s="23"/>
      <c r="E54" s="16"/>
      <c r="F54" s="16"/>
      <c r="G54" s="19"/>
      <c r="H54" s="16"/>
      <c r="I54" s="16"/>
    </row>
    <row r="55" spans="1:9">
      <c r="A55" s="19"/>
      <c r="B55" s="16"/>
      <c r="C55" s="16"/>
      <c r="D55" s="23"/>
      <c r="E55" s="16"/>
      <c r="F55" s="16"/>
      <c r="G55" s="19"/>
      <c r="H55" s="16"/>
      <c r="I55" s="16"/>
    </row>
    <row r="56" spans="1:9">
      <c r="A56" s="19"/>
      <c r="B56" s="16"/>
      <c r="C56" s="16"/>
      <c r="D56" s="23"/>
      <c r="E56" s="16"/>
      <c r="F56" s="16"/>
      <c r="G56" s="19"/>
      <c r="H56" s="16"/>
      <c r="I56" s="16"/>
    </row>
    <row r="57" spans="1:9">
      <c r="A57" s="19"/>
      <c r="B57" s="16"/>
      <c r="C57" s="16"/>
      <c r="D57" s="23"/>
      <c r="E57" s="16"/>
      <c r="F57" s="16"/>
      <c r="G57" s="19"/>
      <c r="H57" s="16"/>
      <c r="I57" s="16"/>
    </row>
    <row r="58" spans="1:9">
      <c r="A58" s="19"/>
      <c r="B58" s="16"/>
      <c r="C58" s="16"/>
      <c r="D58" s="23"/>
      <c r="E58" s="16"/>
      <c r="F58" s="16"/>
      <c r="G58" s="19"/>
      <c r="H58" s="16"/>
      <c r="I58" s="16"/>
    </row>
    <row r="59" spans="1:9">
      <c r="A59" s="19"/>
      <c r="B59" s="16"/>
      <c r="C59" s="16"/>
      <c r="D59" s="23"/>
      <c r="E59" s="16"/>
      <c r="F59" s="16"/>
      <c r="G59" s="19"/>
      <c r="H59" s="16"/>
      <c r="I59" s="16"/>
    </row>
    <row r="60" spans="1:9">
      <c r="A60" s="19"/>
      <c r="B60" s="16"/>
      <c r="C60" s="16"/>
      <c r="D60" s="23"/>
      <c r="E60" s="16"/>
      <c r="F60" s="16"/>
      <c r="G60" s="19"/>
      <c r="H60" s="16"/>
      <c r="I60" s="16"/>
    </row>
    <row r="61" spans="1:9">
      <c r="A61" s="19"/>
      <c r="B61" s="16"/>
      <c r="C61" s="16"/>
      <c r="D61" s="23"/>
      <c r="E61" s="16"/>
      <c r="F61" s="16"/>
      <c r="G61" s="19"/>
      <c r="H61" s="16"/>
      <c r="I61" s="16"/>
    </row>
    <row r="62" spans="1:9">
      <c r="A62" s="19"/>
      <c r="B62" s="16"/>
      <c r="C62" s="16"/>
      <c r="D62" s="23"/>
      <c r="E62" s="16"/>
      <c r="F62" s="16"/>
      <c r="G62" s="19"/>
      <c r="H62" s="16"/>
      <c r="I62" s="16"/>
    </row>
    <row r="63" spans="1:9">
      <c r="A63" s="19"/>
      <c r="B63" s="16"/>
      <c r="C63" s="16"/>
      <c r="D63" s="23"/>
      <c r="E63" s="16"/>
      <c r="F63" s="16"/>
      <c r="G63" s="19"/>
      <c r="H63" s="16"/>
      <c r="I63" s="16"/>
    </row>
    <row r="64" spans="1:9">
      <c r="A64" s="19"/>
      <c r="B64" s="16"/>
      <c r="C64" s="16"/>
      <c r="D64" s="23"/>
      <c r="E64" s="16"/>
      <c r="F64" s="16"/>
      <c r="G64" s="19"/>
      <c r="H64" s="16"/>
      <c r="I64" s="16"/>
    </row>
    <row r="65" spans="1:9">
      <c r="A65" s="19"/>
      <c r="B65" s="16"/>
      <c r="C65" s="16"/>
      <c r="D65" s="23"/>
      <c r="E65" s="16"/>
      <c r="F65" s="16"/>
      <c r="G65" s="19"/>
      <c r="H65" s="16"/>
      <c r="I65" s="16"/>
    </row>
    <row r="66" spans="1:9">
      <c r="A66" s="19"/>
      <c r="B66" s="16"/>
      <c r="C66" s="16"/>
      <c r="D66" s="23"/>
      <c r="E66" s="16"/>
      <c r="F66" s="16"/>
      <c r="G66" s="19"/>
      <c r="H66" s="16"/>
      <c r="I66" s="16"/>
    </row>
    <row r="67" spans="1:9">
      <c r="A67" s="19"/>
      <c r="B67" s="16"/>
      <c r="C67" s="16"/>
      <c r="D67" s="23"/>
      <c r="E67" s="16"/>
      <c r="F67" s="16"/>
      <c r="G67" s="19"/>
      <c r="H67" s="16"/>
      <c r="I67" s="16"/>
    </row>
    <row r="68" spans="1:9">
      <c r="A68" s="19"/>
      <c r="B68" s="16"/>
      <c r="C68" s="16"/>
      <c r="D68" s="23"/>
      <c r="E68" s="16"/>
      <c r="F68" s="16"/>
      <c r="G68" s="19"/>
      <c r="H68" s="16"/>
      <c r="I68" s="16"/>
    </row>
    <row r="69" spans="1:9">
      <c r="A69" s="19"/>
      <c r="B69" s="16"/>
      <c r="C69" s="16"/>
      <c r="D69" s="23"/>
      <c r="E69" s="16"/>
      <c r="F69" s="16"/>
      <c r="G69" s="19"/>
      <c r="H69" s="16"/>
      <c r="I69" s="16"/>
    </row>
    <row r="70" spans="1:9">
      <c r="A70" s="19"/>
      <c r="B70" s="16"/>
      <c r="C70" s="16"/>
      <c r="D70" s="23"/>
      <c r="E70" s="16"/>
      <c r="F70" s="16"/>
      <c r="G70" s="19"/>
      <c r="H70" s="16"/>
      <c r="I70" s="16"/>
    </row>
    <row r="71" spans="1:9">
      <c r="A71" s="19"/>
      <c r="B71" s="16"/>
      <c r="C71" s="16"/>
      <c r="D71" s="23"/>
      <c r="E71" s="16"/>
      <c r="F71" s="16"/>
      <c r="G71" s="19"/>
      <c r="H71" s="16"/>
      <c r="I71" s="16"/>
    </row>
    <row r="72" spans="1:9">
      <c r="A72" s="19"/>
      <c r="B72" s="16"/>
      <c r="C72" s="16"/>
      <c r="D72" s="23"/>
      <c r="E72" s="16"/>
      <c r="F72" s="16"/>
      <c r="G72" s="19"/>
      <c r="H72" s="16"/>
      <c r="I72" s="16"/>
    </row>
    <row r="73" spans="1:9">
      <c r="A73" s="19"/>
      <c r="B73" s="16"/>
      <c r="C73" s="16"/>
      <c r="D73" s="23"/>
      <c r="E73" s="16"/>
      <c r="F73" s="16"/>
      <c r="G73" s="19"/>
      <c r="H73" s="16"/>
      <c r="I73" s="16"/>
    </row>
    <row r="74" spans="1:9">
      <c r="A74" s="19"/>
      <c r="B74" s="16"/>
      <c r="C74" s="16"/>
      <c r="D74" s="23"/>
      <c r="E74" s="16"/>
      <c r="F74" s="16"/>
      <c r="G74" s="19"/>
      <c r="H74" s="16"/>
      <c r="I74" s="16"/>
    </row>
    <row r="75" spans="1:9">
      <c r="A75" s="19"/>
      <c r="B75" s="16"/>
      <c r="C75" s="16"/>
      <c r="D75" s="23"/>
      <c r="E75" s="16"/>
      <c r="F75" s="16"/>
      <c r="G75" s="19"/>
      <c r="H75" s="16"/>
      <c r="I75" s="16"/>
    </row>
    <row r="76" spans="1:9">
      <c r="A76" s="19"/>
      <c r="B76" s="16"/>
      <c r="C76" s="16"/>
      <c r="D76" s="23"/>
      <c r="E76" s="16"/>
      <c r="F76" s="16"/>
      <c r="G76" s="19"/>
      <c r="H76" s="16"/>
      <c r="I76" s="16"/>
    </row>
    <row r="77" spans="1:9">
      <c r="A77" s="19"/>
      <c r="B77" s="16"/>
      <c r="C77" s="16"/>
      <c r="D77" s="23"/>
      <c r="E77" s="16"/>
      <c r="F77" s="16"/>
      <c r="G77" s="19"/>
      <c r="H77" s="16"/>
      <c r="I77" s="16"/>
    </row>
    <row r="78" spans="1:9">
      <c r="A78" s="19"/>
      <c r="B78" s="16"/>
      <c r="C78" s="16"/>
      <c r="D78" s="23"/>
      <c r="E78" s="16"/>
      <c r="F78" s="16"/>
      <c r="G78" s="19"/>
      <c r="H78" s="16"/>
      <c r="I78" s="16"/>
    </row>
    <row r="79" spans="1:9">
      <c r="A79" s="19"/>
      <c r="B79" s="16"/>
      <c r="C79" s="16"/>
      <c r="D79" s="23"/>
      <c r="E79" s="16"/>
      <c r="F79" s="16"/>
      <c r="G79" s="19"/>
      <c r="H79" s="16"/>
      <c r="I79" s="16"/>
    </row>
    <row r="80" spans="1:9">
      <c r="A80" s="8"/>
      <c r="D80" s="11"/>
      <c r="G80" s="8"/>
    </row>
    <row r="81" spans="1:7">
      <c r="A81" s="8"/>
      <c r="D81" s="11"/>
      <c r="G81" s="8"/>
    </row>
    <row r="82" spans="1:7">
      <c r="A82" s="8"/>
      <c r="D82" s="11"/>
      <c r="G82" s="8"/>
    </row>
    <row r="83" spans="1:7">
      <c r="A83" s="8"/>
      <c r="D83" s="11"/>
      <c r="G83" s="8"/>
    </row>
    <row r="84" spans="1:7">
      <c r="A84" s="8"/>
      <c r="D84" s="11"/>
      <c r="G84" s="8"/>
    </row>
    <row r="85" spans="1:7">
      <c r="A85" s="8"/>
      <c r="D85" s="11"/>
      <c r="G85" s="8"/>
    </row>
    <row r="86" spans="1:7">
      <c r="A86" s="8"/>
      <c r="D86" s="11"/>
      <c r="G86" s="8"/>
    </row>
    <row r="87" spans="1:7">
      <c r="A87" s="8"/>
      <c r="D87" s="11"/>
      <c r="G87" s="8"/>
    </row>
    <row r="88" spans="1:7">
      <c r="A88" s="8"/>
      <c r="D88" s="11"/>
      <c r="G88" s="8"/>
    </row>
    <row r="89" spans="1:7">
      <c r="A89" s="8"/>
      <c r="D89" s="11"/>
      <c r="G89" s="8"/>
    </row>
    <row r="90" spans="1:7">
      <c r="A90" s="8"/>
      <c r="D90" s="11"/>
      <c r="G90" s="8"/>
    </row>
    <row r="91" spans="1:7">
      <c r="A91" s="8"/>
      <c r="D91" s="11"/>
      <c r="G91" s="8"/>
    </row>
    <row r="92" spans="1:7">
      <c r="A92" s="8"/>
      <c r="D92" s="11"/>
      <c r="G92" s="8"/>
    </row>
    <row r="93" spans="1:7">
      <c r="A93" s="8"/>
      <c r="D93" s="11"/>
      <c r="G93" s="8"/>
    </row>
    <row r="94" spans="1:7">
      <c r="A94" s="8"/>
      <c r="D94" s="11"/>
      <c r="G94" s="8"/>
    </row>
    <row r="95" spans="1:7">
      <c r="A95" s="8"/>
      <c r="D95" s="11"/>
      <c r="G95" s="8"/>
    </row>
    <row r="96" spans="1:7">
      <c r="A96" s="8"/>
      <c r="D96" s="11"/>
      <c r="G96" s="8"/>
    </row>
    <row r="97" spans="1:7">
      <c r="A97" s="8"/>
      <c r="D97" s="11"/>
      <c r="G97" s="8"/>
    </row>
    <row r="98" spans="1:7">
      <c r="A98" s="8"/>
      <c r="D98" s="11"/>
      <c r="G98" s="8"/>
    </row>
    <row r="99" spans="1:7">
      <c r="A99" s="8"/>
      <c r="D99" s="11"/>
      <c r="G99" s="8"/>
    </row>
    <row r="100" spans="1:7">
      <c r="A100" s="8"/>
      <c r="D100" s="11"/>
      <c r="G100" s="8"/>
    </row>
    <row r="101" spans="1:7">
      <c r="A101" s="8"/>
      <c r="D101" s="11"/>
      <c r="G101" s="8"/>
    </row>
    <row r="102" spans="1:7">
      <c r="A102" s="8"/>
      <c r="D102" s="11"/>
      <c r="G102" s="8"/>
    </row>
    <row r="103" spans="1:7">
      <c r="A103" s="8"/>
      <c r="D103" s="11"/>
      <c r="G103" s="8"/>
    </row>
    <row r="104" spans="1:7">
      <c r="A104" s="8"/>
      <c r="D104" s="11"/>
      <c r="G104" s="8"/>
    </row>
    <row r="105" spans="1:7">
      <c r="A105" s="8"/>
      <c r="D105" s="11"/>
      <c r="G105" s="8"/>
    </row>
    <row r="106" spans="1:7">
      <c r="A106" s="8"/>
      <c r="D106" s="11"/>
      <c r="G106" s="8"/>
    </row>
    <row r="107" spans="1:7">
      <c r="A107" s="8"/>
      <c r="D107" s="11"/>
      <c r="G107" s="8"/>
    </row>
    <row r="108" spans="1:7">
      <c r="A108" s="8"/>
      <c r="D108" s="11"/>
      <c r="G108" s="8"/>
    </row>
    <row r="109" spans="1:7">
      <c r="A109" s="8"/>
      <c r="D109" s="11"/>
      <c r="G109" s="8"/>
    </row>
    <row r="110" spans="1:7">
      <c r="A110" s="8"/>
      <c r="D110" s="11"/>
      <c r="G110" s="8"/>
    </row>
    <row r="111" spans="1:7">
      <c r="A111" s="8"/>
      <c r="D111" s="11"/>
      <c r="G111" s="8"/>
    </row>
    <row r="112" spans="1:7">
      <c r="A112" s="8"/>
      <c r="D112" s="11"/>
      <c r="G112" s="8"/>
    </row>
    <row r="113" spans="1:7">
      <c r="A113" s="8"/>
      <c r="D113" s="11"/>
      <c r="G113" s="8"/>
    </row>
    <row r="114" spans="1:7">
      <c r="A114" s="8"/>
      <c r="D114" s="11"/>
      <c r="G114" s="8"/>
    </row>
    <row r="115" spans="1:7">
      <c r="A115" s="8"/>
      <c r="D115" s="11"/>
      <c r="G115" s="8"/>
    </row>
    <row r="116" spans="1:7">
      <c r="A116" s="8"/>
      <c r="D116" s="11"/>
      <c r="G116" s="8"/>
    </row>
    <row r="117" spans="1:7">
      <c r="A117" s="8"/>
      <c r="D117" s="11"/>
      <c r="G117" s="8"/>
    </row>
    <row r="118" spans="1:7">
      <c r="A118" s="8"/>
      <c r="D118" s="11"/>
      <c r="G118" s="8"/>
    </row>
    <row r="119" spans="1:7">
      <c r="A119" s="8"/>
      <c r="D119" s="11"/>
      <c r="G119" s="8"/>
    </row>
    <row r="120" spans="1:7">
      <c r="A120" s="8"/>
      <c r="D120" s="11"/>
      <c r="G120" s="8"/>
    </row>
    <row r="121" spans="1:7">
      <c r="A121" s="8"/>
      <c r="D121" s="11"/>
      <c r="G121" s="8"/>
    </row>
    <row r="122" spans="1:7">
      <c r="A122" s="8"/>
      <c r="D122" s="11"/>
      <c r="G122" s="8"/>
    </row>
    <row r="123" spans="1:7">
      <c r="A123" s="8"/>
      <c r="D123" s="11"/>
      <c r="G123" s="8"/>
    </row>
    <row r="124" spans="1:7">
      <c r="A124" s="8"/>
      <c r="D124" s="11"/>
      <c r="G124" s="8"/>
    </row>
    <row r="125" spans="1:7">
      <c r="A125" s="8"/>
      <c r="D125" s="11"/>
      <c r="G125" s="8"/>
    </row>
    <row r="126" spans="1:7">
      <c r="A126" s="8"/>
      <c r="D126" s="11"/>
      <c r="G126" s="8"/>
    </row>
    <row r="127" spans="1:7">
      <c r="A127" s="8"/>
      <c r="D127" s="11"/>
      <c r="G127" s="8"/>
    </row>
    <row r="128" spans="1:7">
      <c r="A128" s="8"/>
      <c r="D128" s="11"/>
      <c r="G128" s="8"/>
    </row>
    <row r="129" spans="1:7">
      <c r="A129" s="8"/>
      <c r="D129" s="11"/>
      <c r="G129" s="8"/>
    </row>
    <row r="130" spans="1:7">
      <c r="A130" s="8"/>
      <c r="D130" s="11"/>
      <c r="G130" s="8"/>
    </row>
    <row r="131" spans="1:7">
      <c r="A131" s="8"/>
      <c r="D131" s="11"/>
      <c r="G131" s="8"/>
    </row>
    <row r="132" spans="1:7">
      <c r="A132" s="8"/>
      <c r="D132" s="11"/>
      <c r="G132" s="8"/>
    </row>
    <row r="133" spans="1:7">
      <c r="A133" s="8"/>
      <c r="D133" s="11"/>
      <c r="G133" s="8"/>
    </row>
    <row r="134" spans="1:7">
      <c r="A134" s="8"/>
      <c r="D134" s="11"/>
      <c r="G134" s="8"/>
    </row>
    <row r="135" spans="1:7">
      <c r="A135" s="8"/>
      <c r="D135" s="11"/>
      <c r="G135" s="8"/>
    </row>
    <row r="136" spans="1:7">
      <c r="A136" s="8"/>
      <c r="D136" s="11"/>
      <c r="G136" s="8"/>
    </row>
    <row r="137" spans="1:7">
      <c r="A137" s="8"/>
      <c r="D137" s="11"/>
      <c r="G137" s="8"/>
    </row>
    <row r="138" spans="1:7">
      <c r="A138" s="8"/>
      <c r="D138" s="11"/>
      <c r="G138" s="8"/>
    </row>
    <row r="139" spans="1:7">
      <c r="A139" s="8"/>
      <c r="D139" s="11"/>
      <c r="G139" s="8"/>
    </row>
    <row r="140" spans="1:7">
      <c r="A140" s="8"/>
      <c r="D140" s="11"/>
      <c r="G140" s="8"/>
    </row>
    <row r="141" spans="1:7">
      <c r="A141" s="8"/>
      <c r="D141" s="11"/>
      <c r="G141" s="8"/>
    </row>
    <row r="142" spans="1:7">
      <c r="A142" s="8"/>
      <c r="D142" s="11"/>
      <c r="G142" s="8"/>
    </row>
    <row r="143" spans="1:7">
      <c r="A143" s="8"/>
      <c r="D143" s="11"/>
      <c r="G143" s="8"/>
    </row>
    <row r="144" spans="1:7">
      <c r="A144" s="8"/>
      <c r="D144" s="11"/>
      <c r="G144" s="8"/>
    </row>
    <row r="145" spans="1:7">
      <c r="A145" s="8"/>
      <c r="D145" s="11"/>
      <c r="G145" s="8"/>
    </row>
    <row r="146" spans="1:7">
      <c r="A146" s="8"/>
      <c r="D146" s="11"/>
      <c r="G146" s="8"/>
    </row>
    <row r="147" spans="1:7">
      <c r="A147" s="8"/>
      <c r="D147" s="11"/>
      <c r="G147" s="8"/>
    </row>
    <row r="148" spans="1:7">
      <c r="A148" s="8"/>
      <c r="D148" s="11"/>
      <c r="G148" s="8"/>
    </row>
    <row r="149" spans="1:7">
      <c r="A149" s="8"/>
      <c r="D149" s="11"/>
      <c r="G149" s="8"/>
    </row>
    <row r="150" spans="1:7">
      <c r="A150" s="8"/>
      <c r="D150" s="11"/>
      <c r="G150" s="8"/>
    </row>
    <row r="151" spans="1:7">
      <c r="A151" s="8"/>
      <c r="D151" s="11"/>
      <c r="G151" s="8"/>
    </row>
    <row r="152" spans="1:7">
      <c r="A152" s="8"/>
      <c r="D152" s="11"/>
      <c r="G152" s="8"/>
    </row>
    <row r="153" spans="1:7">
      <c r="A153" s="8"/>
      <c r="D153" s="11"/>
      <c r="G153" s="8"/>
    </row>
    <row r="154" spans="1:7">
      <c r="A154" s="8"/>
      <c r="D154" s="11"/>
      <c r="G154" s="8"/>
    </row>
    <row r="155" spans="1:7">
      <c r="A155" s="8"/>
      <c r="D155" s="11"/>
      <c r="G155" s="8"/>
    </row>
    <row r="156" spans="1:7">
      <c r="A156" s="8"/>
      <c r="D156" s="11"/>
      <c r="G156" s="8"/>
    </row>
    <row r="157" spans="1:7">
      <c r="A157" s="8"/>
      <c r="D157" s="11"/>
      <c r="G157" s="8"/>
    </row>
    <row r="158" spans="1:7">
      <c r="A158" s="8"/>
      <c r="D158" s="11"/>
      <c r="G158" s="8"/>
    </row>
    <row r="159" spans="1:7">
      <c r="A159" s="8"/>
      <c r="D159" s="11"/>
      <c r="G159" s="8"/>
    </row>
    <row r="160" spans="1:7">
      <c r="A160" s="8"/>
      <c r="D160" s="11"/>
      <c r="G160" s="8"/>
    </row>
    <row r="161" spans="1:7">
      <c r="A161" s="8"/>
      <c r="D161" s="11"/>
      <c r="G161" s="8"/>
    </row>
    <row r="162" spans="1:7">
      <c r="A162" s="8"/>
      <c r="D162" s="11"/>
      <c r="G162" s="8"/>
    </row>
    <row r="163" spans="1:7">
      <c r="A163" s="8"/>
      <c r="D163" s="11"/>
      <c r="G163" s="8"/>
    </row>
    <row r="164" spans="1:7">
      <c r="A164" s="8"/>
      <c r="D164" s="11"/>
      <c r="G164" s="8"/>
    </row>
    <row r="165" spans="1:7">
      <c r="A165" s="8"/>
      <c r="D165" s="11"/>
      <c r="G165" s="8"/>
    </row>
    <row r="166" spans="1:7">
      <c r="A166" s="8"/>
      <c r="D166" s="11"/>
      <c r="G166" s="8"/>
    </row>
    <row r="167" spans="1:7">
      <c r="A167" s="8"/>
      <c r="D167" s="11"/>
      <c r="G167" s="8"/>
    </row>
    <row r="168" spans="1:7">
      <c r="A168" s="8"/>
      <c r="D168" s="11"/>
      <c r="G168" s="8"/>
    </row>
    <row r="169" spans="1:7">
      <c r="A169" s="8"/>
      <c r="D169" s="11"/>
      <c r="G169" s="8"/>
    </row>
    <row r="170" spans="1:7">
      <c r="A170" s="8"/>
      <c r="D170" s="11"/>
      <c r="G170" s="8"/>
    </row>
    <row r="171" spans="1:7">
      <c r="A171" s="8"/>
      <c r="D171" s="11"/>
      <c r="G171" s="8"/>
    </row>
    <row r="172" spans="1:7">
      <c r="A172" s="8"/>
      <c r="D172" s="11"/>
      <c r="G172" s="8"/>
    </row>
    <row r="173" spans="1:7">
      <c r="A173" s="8"/>
      <c r="D173" s="11"/>
      <c r="G173" s="8"/>
    </row>
    <row r="174" spans="1:7">
      <c r="A174" s="8"/>
      <c r="D174" s="11"/>
      <c r="G174" s="8"/>
    </row>
    <row r="175" spans="1:7">
      <c r="A175" s="8"/>
      <c r="D175" s="11"/>
      <c r="G175" s="8"/>
    </row>
    <row r="176" spans="1:7">
      <c r="A176" s="8"/>
      <c r="D176" s="11"/>
      <c r="G176" s="8"/>
    </row>
    <row r="177" spans="1:7">
      <c r="A177" s="8"/>
      <c r="D177" s="11"/>
      <c r="G177" s="8"/>
    </row>
    <row r="178" spans="1:7">
      <c r="A178" s="8"/>
      <c r="D178" s="11"/>
      <c r="G178" s="8"/>
    </row>
    <row r="179" spans="1:7">
      <c r="A179" s="8"/>
      <c r="D179" s="11"/>
      <c r="G179" s="8"/>
    </row>
    <row r="180" spans="1:7">
      <c r="A180" s="8"/>
      <c r="D180" s="11"/>
      <c r="G180" s="8"/>
    </row>
    <row r="181" spans="1:7">
      <c r="A181" s="8"/>
      <c r="D181" s="11"/>
      <c r="G181" s="8"/>
    </row>
    <row r="182" spans="1:7">
      <c r="A182" s="8"/>
      <c r="D182" s="11"/>
      <c r="G182" s="8"/>
    </row>
    <row r="183" spans="1:7">
      <c r="A183" s="8"/>
      <c r="D183" s="11"/>
      <c r="G183" s="8"/>
    </row>
    <row r="184" spans="1:7">
      <c r="A184" s="8"/>
      <c r="D184" s="11"/>
      <c r="G184" s="8"/>
    </row>
    <row r="185" spans="1:7">
      <c r="A185" s="8"/>
      <c r="D185" s="11"/>
      <c r="G185" s="8"/>
    </row>
    <row r="186" spans="1:7">
      <c r="A186" s="8"/>
      <c r="D186" s="11"/>
      <c r="G186" s="8"/>
    </row>
    <row r="187" spans="1:7">
      <c r="A187" s="8"/>
      <c r="D187" s="11"/>
      <c r="G187" s="8"/>
    </row>
    <row r="188" spans="1:7">
      <c r="A188" s="8"/>
      <c r="D188" s="11"/>
      <c r="G188" s="8"/>
    </row>
    <row r="189" spans="1:7">
      <c r="A189" s="8"/>
      <c r="D189" s="11"/>
      <c r="G189" s="8"/>
    </row>
    <row r="190" spans="1:7">
      <c r="A190" s="8"/>
      <c r="D190" s="11"/>
      <c r="G190" s="8"/>
    </row>
    <row r="191" spans="1:7">
      <c r="A191" s="8"/>
      <c r="D191" s="11"/>
      <c r="G191" s="8"/>
    </row>
    <row r="192" spans="1:7">
      <c r="A192" s="8"/>
      <c r="D192" s="11"/>
      <c r="G192" s="8"/>
    </row>
    <row r="193" spans="1:7">
      <c r="A193" s="8"/>
      <c r="D193" s="11"/>
      <c r="G193" s="8"/>
    </row>
    <row r="194" spans="1:7">
      <c r="A194" s="8"/>
      <c r="D194" s="11"/>
      <c r="G194" s="8"/>
    </row>
    <row r="195" spans="1:7">
      <c r="A195" s="8"/>
      <c r="D195" s="11"/>
      <c r="G195" s="8"/>
    </row>
    <row r="196" spans="1:7">
      <c r="A196" s="8"/>
      <c r="D196" s="11"/>
      <c r="G196" s="8"/>
    </row>
    <row r="197" spans="1:7">
      <c r="A197" s="8"/>
      <c r="D197" s="11"/>
      <c r="G197" s="8"/>
    </row>
    <row r="198" spans="1:7">
      <c r="A198" s="8"/>
      <c r="D198" s="11"/>
      <c r="G198" s="8"/>
    </row>
    <row r="199" spans="1:7">
      <c r="A199" s="8"/>
      <c r="D199" s="11"/>
      <c r="G199" s="8"/>
    </row>
    <row r="200" spans="1:7">
      <c r="A200" s="8"/>
      <c r="D200" s="11"/>
      <c r="G200" s="8"/>
    </row>
    <row r="201" spans="1:7">
      <c r="A201" s="8"/>
      <c r="D201" s="11"/>
      <c r="G201" s="8"/>
    </row>
    <row r="202" spans="1:7">
      <c r="A202" s="8"/>
      <c r="D202" s="11"/>
      <c r="G202" s="8"/>
    </row>
    <row r="203" spans="1:7">
      <c r="A203" s="8"/>
      <c r="D203" s="11"/>
      <c r="G203" s="8"/>
    </row>
    <row r="204" spans="1:7">
      <c r="A204" s="8"/>
      <c r="D204" s="11"/>
      <c r="G204" s="8"/>
    </row>
    <row r="205" spans="1:7">
      <c r="A205" s="8"/>
      <c r="D205" s="11"/>
      <c r="G205" s="8"/>
    </row>
    <row r="206" spans="1:7">
      <c r="A206" s="8"/>
      <c r="D206" s="11"/>
      <c r="G206" s="8"/>
    </row>
    <row r="207" spans="1:7">
      <c r="A207" s="8"/>
      <c r="D207" s="11"/>
      <c r="G207" s="8"/>
    </row>
    <row r="208" spans="1:7">
      <c r="A208" s="8"/>
      <c r="D208" s="11"/>
      <c r="G208" s="8"/>
    </row>
    <row r="209" spans="1:7">
      <c r="A209" s="8"/>
      <c r="D209" s="11"/>
      <c r="G209" s="8"/>
    </row>
    <row r="210" spans="1:7">
      <c r="A210" s="8"/>
      <c r="D210" s="11"/>
      <c r="G210" s="8"/>
    </row>
    <row r="211" spans="1:7">
      <c r="A211" s="8"/>
      <c r="D211" s="11"/>
      <c r="G211" s="8"/>
    </row>
    <row r="212" spans="1:7">
      <c r="A212" s="8"/>
      <c r="D212" s="11"/>
      <c r="G212" s="8"/>
    </row>
    <row r="213" spans="1:7">
      <c r="A213" s="8"/>
      <c r="D213" s="11"/>
      <c r="G213" s="8"/>
    </row>
    <row r="214" spans="1:7">
      <c r="A214" s="8"/>
      <c r="D214" s="11"/>
      <c r="G214" s="8"/>
    </row>
    <row r="215" spans="1:7">
      <c r="A215" s="8"/>
      <c r="D215" s="11"/>
      <c r="G215" s="8"/>
    </row>
    <row r="216" spans="1:7">
      <c r="A216" s="8"/>
      <c r="D216" s="11"/>
      <c r="G216" s="8"/>
    </row>
    <row r="217" spans="1:7">
      <c r="A217" s="8"/>
      <c r="D217" s="11"/>
      <c r="G217" s="8"/>
    </row>
    <row r="218" spans="1:7">
      <c r="A218" s="8"/>
      <c r="D218" s="11"/>
      <c r="G218" s="8"/>
    </row>
    <row r="219" spans="1:7">
      <c r="A219" s="8"/>
      <c r="D219" s="11"/>
      <c r="G219" s="8"/>
    </row>
    <row r="220" spans="1:7">
      <c r="A220" s="8"/>
      <c r="D220" s="11"/>
      <c r="G220" s="8"/>
    </row>
    <row r="221" spans="1:7">
      <c r="A221" s="8"/>
      <c r="D221" s="11"/>
      <c r="G221" s="8"/>
    </row>
    <row r="222" spans="1:7">
      <c r="A222" s="8"/>
      <c r="D222" s="11"/>
      <c r="G222" s="8"/>
    </row>
    <row r="223" spans="1:7">
      <c r="A223" s="8"/>
      <c r="D223" s="11"/>
      <c r="G223" s="8"/>
    </row>
    <row r="224" spans="1:7">
      <c r="A224" s="8"/>
      <c r="D224" s="11"/>
      <c r="G224" s="8"/>
    </row>
    <row r="225" spans="1:7">
      <c r="A225" s="8"/>
      <c r="D225" s="11"/>
      <c r="G225" s="8"/>
    </row>
    <row r="226" spans="1:7">
      <c r="A226" s="8"/>
      <c r="D226" s="11"/>
      <c r="G226" s="8"/>
    </row>
    <row r="227" spans="1:7">
      <c r="A227" s="8"/>
      <c r="D227" s="11"/>
      <c r="G227" s="8"/>
    </row>
    <row r="228" spans="1:7">
      <c r="A228" s="8"/>
      <c r="D228" s="11"/>
      <c r="G228" s="8"/>
    </row>
    <row r="229" spans="1:7">
      <c r="A229" s="8"/>
      <c r="D229" s="11"/>
      <c r="G229" s="8"/>
    </row>
    <row r="230" spans="1:7">
      <c r="A230" s="8"/>
      <c r="D230" s="11"/>
      <c r="G230" s="8"/>
    </row>
    <row r="231" spans="1:7">
      <c r="A231" s="8"/>
      <c r="D231" s="11"/>
      <c r="G231" s="8"/>
    </row>
    <row r="232" spans="1:7">
      <c r="A232" s="8"/>
      <c r="D232" s="11"/>
      <c r="G232" s="8"/>
    </row>
    <row r="233" spans="1:7">
      <c r="A233" s="8"/>
      <c r="D233" s="11"/>
      <c r="G233" s="8"/>
    </row>
    <row r="234" spans="1:7">
      <c r="A234" s="8"/>
      <c r="D234" s="11"/>
      <c r="G234" s="8"/>
    </row>
    <row r="235" spans="1:7">
      <c r="A235" s="8"/>
      <c r="D235" s="11"/>
      <c r="G235" s="8"/>
    </row>
    <row r="236" spans="1:7">
      <c r="A236" s="8"/>
      <c r="D236" s="11"/>
      <c r="G236" s="8"/>
    </row>
    <row r="237" spans="1:7">
      <c r="A237" s="8"/>
      <c r="D237" s="11"/>
      <c r="G237" s="8"/>
    </row>
    <row r="238" spans="1:7">
      <c r="A238" s="8"/>
      <c r="D238" s="11"/>
      <c r="G238" s="8"/>
    </row>
    <row r="239" spans="1:7">
      <c r="A239" s="8"/>
      <c r="D239" s="11"/>
      <c r="G239" s="8"/>
    </row>
    <row r="240" spans="1:7">
      <c r="A240" s="8"/>
      <c r="D240" s="11"/>
      <c r="G240" s="8"/>
    </row>
    <row r="241" spans="1:7">
      <c r="A241" s="8"/>
      <c r="D241" s="11"/>
      <c r="G241" s="8"/>
    </row>
    <row r="242" spans="1:7">
      <c r="A242" s="8"/>
      <c r="D242" s="11"/>
      <c r="G242" s="8"/>
    </row>
    <row r="243" spans="1:7">
      <c r="A243" s="8"/>
      <c r="D243" s="11"/>
      <c r="G243" s="8"/>
    </row>
    <row r="244" spans="1:7">
      <c r="A244" s="8"/>
      <c r="D244" s="11"/>
      <c r="G244" s="8"/>
    </row>
    <row r="245" spans="1:7">
      <c r="A245" s="8"/>
      <c r="D245" s="11"/>
      <c r="G245" s="8"/>
    </row>
    <row r="246" spans="1:7">
      <c r="A246" s="8"/>
      <c r="D246" s="11"/>
      <c r="G246" s="8"/>
    </row>
    <row r="247" spans="1:7">
      <c r="A247" s="8"/>
      <c r="D247" s="11"/>
      <c r="G247" s="8"/>
    </row>
    <row r="248" spans="1:7">
      <c r="A248" s="8"/>
      <c r="D248" s="11"/>
      <c r="G248" s="8"/>
    </row>
    <row r="249" spans="1:7">
      <c r="A249" s="8"/>
      <c r="D249" s="11"/>
      <c r="G249" s="8"/>
    </row>
    <row r="250" spans="1:7">
      <c r="A250" s="8"/>
      <c r="D250" s="11"/>
      <c r="G250" s="8"/>
    </row>
    <row r="251" spans="1:7">
      <c r="A251" s="8"/>
      <c r="D251" s="11"/>
      <c r="G251" s="8"/>
    </row>
    <row r="252" spans="1:7">
      <c r="A252" s="8"/>
      <c r="D252" s="11"/>
      <c r="G252" s="8"/>
    </row>
    <row r="253" spans="1:7">
      <c r="A253" s="8"/>
      <c r="D253" s="11"/>
      <c r="G253" s="8"/>
    </row>
    <row r="254" spans="1:7">
      <c r="A254" s="8"/>
      <c r="D254" s="11"/>
      <c r="G254" s="8"/>
    </row>
    <row r="255" spans="1:7">
      <c r="A255" s="8"/>
      <c r="D255" s="11"/>
      <c r="G255" s="8"/>
    </row>
    <row r="256" spans="1:7">
      <c r="A256" s="8"/>
      <c r="D256" s="11"/>
      <c r="G256" s="8"/>
    </row>
    <row r="257" spans="1:7">
      <c r="A257" s="8"/>
      <c r="D257" s="11"/>
      <c r="G257" s="8"/>
    </row>
    <row r="258" spans="1:7">
      <c r="A258" s="8"/>
      <c r="D258" s="11"/>
      <c r="G258" s="8"/>
    </row>
    <row r="259" spans="1:7">
      <c r="A259" s="8"/>
      <c r="D259" s="11"/>
      <c r="G259" s="8"/>
    </row>
    <row r="260" spans="1:7">
      <c r="A260" s="8"/>
      <c r="D260" s="11"/>
      <c r="G260" s="8"/>
    </row>
    <row r="261" spans="1:7">
      <c r="A261" s="8"/>
      <c r="D261" s="11"/>
      <c r="G261" s="8"/>
    </row>
    <row r="262" spans="1:7">
      <c r="A262" s="8"/>
      <c r="D262" s="11"/>
      <c r="G262" s="8"/>
    </row>
    <row r="263" spans="1:7">
      <c r="A263" s="8"/>
      <c r="D263" s="11"/>
      <c r="G263" s="8"/>
    </row>
    <row r="264" spans="1:7">
      <c r="A264" s="8"/>
      <c r="D264" s="11"/>
      <c r="G264" s="8"/>
    </row>
    <row r="265" spans="1:7">
      <c r="A265" s="8"/>
      <c r="D265" s="11"/>
      <c r="G265" s="8"/>
    </row>
    <row r="266" spans="1:7">
      <c r="A266" s="8"/>
      <c r="D266" s="11"/>
      <c r="G266" s="8"/>
    </row>
    <row r="267" spans="1:7">
      <c r="A267" s="8"/>
      <c r="D267" s="11"/>
      <c r="G267" s="8"/>
    </row>
    <row r="268" spans="1:7">
      <c r="A268" s="8"/>
      <c r="D268" s="11"/>
      <c r="G268" s="8"/>
    </row>
    <row r="269" spans="1:7">
      <c r="A269" s="8"/>
      <c r="D269" s="11"/>
      <c r="G269" s="8"/>
    </row>
    <row r="270" spans="1:7">
      <c r="A270" s="8"/>
      <c r="D270" s="11"/>
      <c r="G270" s="8"/>
    </row>
    <row r="271" spans="1:7">
      <c r="A271" s="8"/>
      <c r="D271" s="11"/>
      <c r="G271" s="8"/>
    </row>
    <row r="272" spans="1:7">
      <c r="A272" s="8"/>
      <c r="D272" s="11"/>
      <c r="G272" s="8"/>
    </row>
    <row r="273" spans="1:7">
      <c r="A273" s="8"/>
      <c r="D273" s="11"/>
      <c r="G273" s="8"/>
    </row>
    <row r="274" spans="1:7">
      <c r="A274" s="8"/>
      <c r="D274" s="11"/>
      <c r="G274" s="8"/>
    </row>
    <row r="275" spans="1:7">
      <c r="A275" s="8"/>
      <c r="D275" s="11"/>
      <c r="G275" s="8"/>
    </row>
    <row r="276" spans="1:7">
      <c r="A276" s="8"/>
      <c r="D276" s="11"/>
      <c r="G276" s="8"/>
    </row>
    <row r="277" spans="1:7">
      <c r="A277" s="8"/>
      <c r="D277" s="11"/>
      <c r="G277" s="8"/>
    </row>
    <row r="278" spans="1:7">
      <c r="A278" s="8"/>
      <c r="D278" s="11"/>
      <c r="G278" s="8"/>
    </row>
    <row r="279" spans="1:7">
      <c r="A279" s="8"/>
      <c r="D279" s="11"/>
      <c r="G279" s="8"/>
    </row>
    <row r="280" spans="1:7">
      <c r="A280" s="8"/>
      <c r="D280" s="11"/>
      <c r="G280" s="8"/>
    </row>
    <row r="281" spans="1:7">
      <c r="A281" s="8"/>
      <c r="D281" s="11"/>
      <c r="G281" s="8"/>
    </row>
    <row r="282" spans="1:7">
      <c r="A282" s="8"/>
      <c r="D282" s="11"/>
      <c r="G282" s="8"/>
    </row>
    <row r="283" spans="1:7">
      <c r="A283" s="8"/>
      <c r="D283" s="11"/>
      <c r="G283" s="8"/>
    </row>
    <row r="284" spans="1:7">
      <c r="A284" s="8"/>
      <c r="D284" s="11"/>
      <c r="G284" s="8"/>
    </row>
    <row r="285" spans="1:7">
      <c r="A285" s="8"/>
      <c r="D285" s="11"/>
      <c r="G285" s="8"/>
    </row>
    <row r="286" spans="1:7">
      <c r="A286" s="8"/>
      <c r="D286" s="11"/>
      <c r="G286" s="8"/>
    </row>
    <row r="287" spans="1:7">
      <c r="A287" s="8"/>
      <c r="D287" s="11"/>
      <c r="G287" s="8"/>
    </row>
    <row r="288" spans="1:7">
      <c r="A288" s="8"/>
      <c r="D288" s="11"/>
      <c r="G288" s="8"/>
    </row>
    <row r="289" spans="1:7">
      <c r="A289" s="8"/>
      <c r="D289" s="11"/>
      <c r="G289" s="8"/>
    </row>
    <row r="290" spans="1:7">
      <c r="A290" s="8"/>
      <c r="D290" s="11"/>
      <c r="G290" s="8"/>
    </row>
    <row r="291" spans="1:7">
      <c r="A291" s="8"/>
      <c r="D291" s="11"/>
      <c r="G291" s="8"/>
    </row>
    <row r="292" spans="1:7">
      <c r="A292" s="8"/>
      <c r="D292" s="11"/>
      <c r="G292" s="8"/>
    </row>
    <row r="293" spans="1:7">
      <c r="A293" s="8"/>
      <c r="D293" s="11"/>
      <c r="G293" s="8"/>
    </row>
    <row r="294" spans="1:7">
      <c r="A294" s="8"/>
      <c r="D294" s="11"/>
      <c r="G294" s="8"/>
    </row>
    <row r="295" spans="1:7">
      <c r="A295" s="8"/>
      <c r="D295" s="11"/>
      <c r="G295" s="8"/>
    </row>
    <row r="296" spans="1:7">
      <c r="A296" s="8"/>
      <c r="D296" s="11"/>
      <c r="G296" s="8"/>
    </row>
    <row r="297" spans="1:7">
      <c r="A297" s="8"/>
      <c r="D297" s="11"/>
      <c r="G297" s="8"/>
    </row>
    <row r="298" spans="1:7">
      <c r="A298" s="8"/>
      <c r="D298" s="11"/>
      <c r="G298" s="8"/>
    </row>
    <row r="299" spans="1:7">
      <c r="A299" s="8"/>
      <c r="D299" s="11"/>
      <c r="G299" s="8"/>
    </row>
    <row r="300" spans="1:7">
      <c r="A300" s="8"/>
      <c r="D300" s="11"/>
      <c r="G300" s="8"/>
    </row>
    <row r="301" spans="1:7">
      <c r="A301" s="8"/>
      <c r="D301" s="11"/>
      <c r="G301" s="8"/>
    </row>
    <row r="302" spans="1:7">
      <c r="A302" s="8"/>
      <c r="D302" s="11"/>
      <c r="G302" s="8"/>
    </row>
    <row r="303" spans="1:7">
      <c r="A303" s="8"/>
      <c r="D303" s="11"/>
      <c r="G303" s="8"/>
    </row>
    <row r="304" spans="1:7">
      <c r="A304" s="8"/>
      <c r="D304" s="11"/>
      <c r="G304" s="8"/>
    </row>
    <row r="305" spans="1:7">
      <c r="A305" s="8"/>
      <c r="D305" s="11"/>
      <c r="G305" s="8"/>
    </row>
    <row r="306" spans="1:7">
      <c r="A306" s="8"/>
      <c r="D306" s="11"/>
      <c r="G306" s="8"/>
    </row>
    <row r="307" spans="1:7">
      <c r="A307" s="8"/>
      <c r="D307" s="11"/>
      <c r="G307" s="8"/>
    </row>
    <row r="308" spans="1:7">
      <c r="A308" s="8"/>
      <c r="D308" s="11"/>
      <c r="G308" s="8"/>
    </row>
    <row r="309" spans="1:7">
      <c r="A309" s="8"/>
      <c r="D309" s="11"/>
      <c r="G309" s="8"/>
    </row>
    <row r="310" spans="1:7">
      <c r="A310" s="8"/>
      <c r="D310" s="11"/>
      <c r="G310" s="8"/>
    </row>
    <row r="311" spans="1:7">
      <c r="A311" s="8"/>
      <c r="D311" s="11"/>
      <c r="G311" s="8"/>
    </row>
    <row r="312" spans="1:7">
      <c r="A312" s="8"/>
      <c r="D312" s="11"/>
      <c r="G312" s="8"/>
    </row>
    <row r="313" spans="1:7">
      <c r="A313" s="8"/>
      <c r="D313" s="11"/>
      <c r="G313" s="8"/>
    </row>
    <row r="314" spans="1:7">
      <c r="A314" s="8"/>
      <c r="D314" s="11"/>
      <c r="G314" s="8"/>
    </row>
    <row r="315" spans="1:7">
      <c r="A315" s="8"/>
      <c r="D315" s="11"/>
      <c r="G315" s="8"/>
    </row>
    <row r="316" spans="1:7">
      <c r="A316" s="8"/>
      <c r="D316" s="11"/>
      <c r="G316" s="8"/>
    </row>
    <row r="317" spans="1:7">
      <c r="A317" s="8"/>
      <c r="D317" s="11"/>
      <c r="G317" s="8"/>
    </row>
    <row r="318" spans="1:7">
      <c r="A318" s="8"/>
      <c r="D318" s="11"/>
      <c r="G318" s="8"/>
    </row>
    <row r="319" spans="1:7">
      <c r="A319" s="8"/>
      <c r="D319" s="11"/>
      <c r="G319" s="8"/>
    </row>
    <row r="320" spans="1:7">
      <c r="A320" s="8"/>
      <c r="D320" s="11"/>
      <c r="G320" s="8"/>
    </row>
    <row r="321" spans="1:7">
      <c r="A321" s="8"/>
      <c r="D321" s="11"/>
      <c r="G321" s="8"/>
    </row>
    <row r="322" spans="1:7">
      <c r="A322" s="8"/>
      <c r="D322" s="11"/>
      <c r="G322" s="8"/>
    </row>
    <row r="323" spans="1:7">
      <c r="A323" s="8"/>
      <c r="D323" s="11"/>
      <c r="G323" s="8"/>
    </row>
    <row r="324" spans="1:7">
      <c r="A324" s="8"/>
      <c r="D324" s="11"/>
      <c r="G324" s="8"/>
    </row>
    <row r="325" spans="1:7">
      <c r="A325" s="8"/>
      <c r="D325" s="11"/>
      <c r="G325" s="8"/>
    </row>
    <row r="326" spans="1:7">
      <c r="A326" s="8"/>
      <c r="D326" s="11"/>
      <c r="G326" s="8"/>
    </row>
    <row r="327" spans="1:7">
      <c r="A327" s="8"/>
      <c r="D327" s="11"/>
      <c r="G327" s="8"/>
    </row>
    <row r="328" spans="1:7">
      <c r="A328" s="8"/>
      <c r="D328" s="11"/>
      <c r="G328" s="8"/>
    </row>
    <row r="329" spans="1:7">
      <c r="A329" s="8"/>
      <c r="D329" s="11"/>
      <c r="G329" s="8"/>
    </row>
    <row r="330" spans="1:7">
      <c r="A330" s="8"/>
      <c r="D330" s="11"/>
      <c r="G330" s="8"/>
    </row>
    <row r="331" spans="1:7">
      <c r="A331" s="8"/>
      <c r="D331" s="11"/>
      <c r="G331" s="8"/>
    </row>
    <row r="332" spans="1:7">
      <c r="A332" s="8"/>
      <c r="D332" s="11"/>
      <c r="G332" s="8"/>
    </row>
    <row r="333" spans="1:7">
      <c r="A333" s="8"/>
      <c r="D333" s="11"/>
      <c r="G333" s="8"/>
    </row>
    <row r="334" spans="1:7">
      <c r="A334" s="8"/>
      <c r="D334" s="11"/>
      <c r="G334" s="8"/>
    </row>
    <row r="335" spans="1:7">
      <c r="A335" s="8"/>
      <c r="D335" s="11"/>
      <c r="G335" s="8"/>
    </row>
    <row r="336" spans="1:7">
      <c r="A336" s="8"/>
      <c r="D336" s="11"/>
      <c r="G336" s="8"/>
    </row>
    <row r="337" spans="1:7">
      <c r="A337" s="8"/>
      <c r="D337" s="11"/>
      <c r="G337" s="8"/>
    </row>
    <row r="338" spans="1:7">
      <c r="A338" s="8"/>
      <c r="D338" s="11"/>
      <c r="G338" s="8"/>
    </row>
    <row r="339" spans="1:7">
      <c r="A339" s="8"/>
      <c r="D339" s="11"/>
      <c r="G339" s="8"/>
    </row>
    <row r="340" spans="1:7">
      <c r="A340" s="8"/>
      <c r="D340" s="11"/>
      <c r="G340" s="8"/>
    </row>
    <row r="341" spans="1:7">
      <c r="A341" s="8"/>
      <c r="D341" s="11"/>
      <c r="G341" s="8"/>
    </row>
    <row r="342" spans="1:7">
      <c r="A342" s="8"/>
      <c r="D342" s="11"/>
      <c r="G342" s="8"/>
    </row>
    <row r="343" spans="1:7">
      <c r="A343" s="8"/>
      <c r="D343" s="11"/>
      <c r="G343" s="8"/>
    </row>
    <row r="344" spans="1:7">
      <c r="A344" s="8"/>
      <c r="D344" s="11"/>
      <c r="G344" s="8"/>
    </row>
    <row r="345" spans="1:7">
      <c r="A345" s="8"/>
      <c r="D345" s="11"/>
      <c r="G345" s="8"/>
    </row>
    <row r="346" spans="1:7">
      <c r="A346" s="8"/>
      <c r="D346" s="11"/>
      <c r="G346" s="8"/>
    </row>
    <row r="347" spans="1:7">
      <c r="A347" s="8"/>
      <c r="D347" s="11"/>
      <c r="G347" s="8"/>
    </row>
    <row r="348" spans="1:7">
      <c r="A348" s="8"/>
      <c r="D348" s="11"/>
      <c r="G348" s="8"/>
    </row>
    <row r="349" spans="1:7">
      <c r="A349" s="8"/>
      <c r="D349" s="11"/>
      <c r="G349" s="8"/>
    </row>
    <row r="350" spans="1:7">
      <c r="A350" s="8"/>
      <c r="D350" s="11"/>
      <c r="G350" s="8"/>
    </row>
    <row r="351" spans="1:7">
      <c r="A351" s="8"/>
      <c r="D351" s="11"/>
      <c r="G351" s="8"/>
    </row>
    <row r="352" spans="1:7">
      <c r="A352" s="8"/>
      <c r="D352" s="11"/>
      <c r="G352" s="8"/>
    </row>
    <row r="353" spans="1:7">
      <c r="A353" s="8"/>
      <c r="D353" s="11"/>
      <c r="G353" s="8"/>
    </row>
    <row r="354" spans="1:7">
      <c r="A354" s="8"/>
      <c r="D354" s="11"/>
      <c r="G354" s="8"/>
    </row>
    <row r="355" spans="1:7">
      <c r="A355" s="8"/>
      <c r="D355" s="11"/>
      <c r="G355" s="8"/>
    </row>
    <row r="356" spans="1:7">
      <c r="A356" s="8"/>
      <c r="D356" s="11"/>
      <c r="G356" s="8"/>
    </row>
    <row r="357" spans="1:7">
      <c r="A357" s="8"/>
      <c r="D357" s="11"/>
      <c r="G357" s="8"/>
    </row>
    <row r="358" spans="1:7">
      <c r="A358" s="8"/>
      <c r="D358" s="11"/>
      <c r="G358" s="8"/>
    </row>
    <row r="359" spans="1:7">
      <c r="A359" s="8"/>
      <c r="D359" s="11"/>
      <c r="G359" s="8"/>
    </row>
    <row r="360" spans="1:7">
      <c r="A360" s="8"/>
      <c r="D360" s="11"/>
      <c r="G360" s="8"/>
    </row>
    <row r="361" spans="1:7">
      <c r="A361" s="8"/>
      <c r="D361" s="11"/>
      <c r="G361" s="8"/>
    </row>
    <row r="362" spans="1:7">
      <c r="A362" s="8"/>
      <c r="D362" s="11"/>
      <c r="G362" s="8"/>
    </row>
    <row r="363" spans="1:7">
      <c r="A363" s="8"/>
      <c r="D363" s="11"/>
      <c r="G363" s="8"/>
    </row>
    <row r="364" spans="1:7">
      <c r="A364" s="8"/>
      <c r="D364" s="11"/>
      <c r="G364" s="8"/>
    </row>
    <row r="365" spans="1:7">
      <c r="A365" s="8"/>
      <c r="D365" s="11"/>
      <c r="G365" s="8"/>
    </row>
    <row r="366" spans="1:7">
      <c r="A366" s="8"/>
      <c r="D366" s="11"/>
      <c r="G366" s="8"/>
    </row>
    <row r="367" spans="1:7">
      <c r="A367" s="8"/>
      <c r="D367" s="11"/>
      <c r="G367" s="8"/>
    </row>
    <row r="368" spans="1:7">
      <c r="A368" s="8"/>
      <c r="D368" s="11"/>
      <c r="G368" s="8"/>
    </row>
    <row r="369" spans="1:7">
      <c r="A369" s="8"/>
      <c r="D369" s="11"/>
      <c r="G369" s="8"/>
    </row>
    <row r="370" spans="1:7">
      <c r="A370" s="8"/>
      <c r="D370" s="11"/>
      <c r="G370" s="8"/>
    </row>
    <row r="371" spans="1:7">
      <c r="A371" s="8"/>
      <c r="D371" s="11"/>
      <c r="G371" s="8"/>
    </row>
    <row r="372" spans="1:7">
      <c r="A372" s="8"/>
      <c r="D372" s="11"/>
      <c r="G372" s="8"/>
    </row>
    <row r="373" spans="1:7">
      <c r="A373" s="8"/>
      <c r="D373" s="11"/>
      <c r="G373" s="8"/>
    </row>
    <row r="374" spans="1:7">
      <c r="A374" s="8"/>
      <c r="D374" s="11"/>
      <c r="G374" s="8"/>
    </row>
    <row r="375" spans="1:7">
      <c r="A375" s="8"/>
      <c r="D375" s="11"/>
      <c r="G375" s="8"/>
    </row>
    <row r="376" spans="1:7">
      <c r="A376" s="8"/>
      <c r="D376" s="11"/>
      <c r="G376" s="8"/>
    </row>
    <row r="377" spans="1:7">
      <c r="A377" s="8"/>
      <c r="D377" s="11"/>
      <c r="G377" s="8"/>
    </row>
    <row r="378" spans="1:7">
      <c r="A378" s="8"/>
      <c r="D378" s="11"/>
      <c r="G378" s="8"/>
    </row>
    <row r="379" spans="1:7">
      <c r="A379" s="8"/>
      <c r="D379" s="11"/>
      <c r="G379" s="8"/>
    </row>
    <row r="380" spans="1:7">
      <c r="A380" s="8"/>
      <c r="D380" s="11"/>
      <c r="G380" s="8"/>
    </row>
    <row r="381" spans="1:7">
      <c r="A381" s="8"/>
      <c r="D381" s="11"/>
      <c r="G381" s="8"/>
    </row>
    <row r="382" spans="1:7">
      <c r="A382" s="8"/>
      <c r="D382" s="11"/>
      <c r="G382" s="8"/>
    </row>
    <row r="383" spans="1:7">
      <c r="A383" s="8"/>
      <c r="D383" s="11"/>
      <c r="G383" s="8"/>
    </row>
    <row r="384" spans="1:7">
      <c r="A384" s="8"/>
      <c r="D384" s="11"/>
      <c r="G384" s="8"/>
    </row>
    <row r="385" spans="1:7">
      <c r="A385" s="8"/>
      <c r="D385" s="11"/>
      <c r="G385" s="8"/>
    </row>
    <row r="386" spans="1:7">
      <c r="A386" s="8"/>
      <c r="D386" s="11"/>
      <c r="G386" s="8"/>
    </row>
    <row r="387" spans="1:7">
      <c r="A387" s="8"/>
      <c r="D387" s="11"/>
      <c r="G387" s="8"/>
    </row>
    <row r="388" spans="1:7">
      <c r="A388" s="8"/>
      <c r="D388" s="11"/>
      <c r="G388" s="8"/>
    </row>
    <row r="389" spans="1:7">
      <c r="A389" s="8"/>
      <c r="D389" s="11"/>
      <c r="G389" s="8"/>
    </row>
    <row r="390" spans="1:7">
      <c r="A390" s="8"/>
      <c r="D390" s="11"/>
      <c r="G390" s="8"/>
    </row>
    <row r="391" spans="1:7">
      <c r="A391" s="8"/>
      <c r="D391" s="11"/>
      <c r="G391" s="8"/>
    </row>
    <row r="392" spans="1:7">
      <c r="A392" s="8"/>
      <c r="D392" s="11"/>
      <c r="G392" s="8"/>
    </row>
    <row r="393" spans="1:7">
      <c r="A393" s="8"/>
      <c r="D393" s="11"/>
      <c r="G393" s="8"/>
    </row>
    <row r="394" spans="1:7">
      <c r="A394" s="8"/>
      <c r="D394" s="11"/>
      <c r="G394" s="8"/>
    </row>
    <row r="395" spans="1:7">
      <c r="A395" s="8"/>
      <c r="D395" s="11"/>
      <c r="G395" s="8"/>
    </row>
    <row r="396" spans="1:7">
      <c r="A396" s="8"/>
      <c r="D396" s="11"/>
      <c r="G396" s="8"/>
    </row>
    <row r="397" spans="1:7">
      <c r="A397" s="8"/>
      <c r="D397" s="11"/>
      <c r="G397" s="8"/>
    </row>
    <row r="398" spans="1:7">
      <c r="A398" s="8"/>
      <c r="D398" s="11"/>
      <c r="G398" s="8"/>
    </row>
    <row r="399" spans="1:7">
      <c r="A399" s="8"/>
      <c r="D399" s="11"/>
      <c r="G399" s="8"/>
    </row>
    <row r="400" spans="1:7">
      <c r="A400" s="8"/>
      <c r="D400" s="11"/>
      <c r="G400" s="8"/>
    </row>
    <row r="401" spans="1:7">
      <c r="A401" s="8"/>
      <c r="D401" s="11"/>
      <c r="G401" s="8"/>
    </row>
    <row r="402" spans="1:7">
      <c r="A402" s="8"/>
      <c r="D402" s="11"/>
      <c r="G402" s="8"/>
    </row>
    <row r="403" spans="1:7">
      <c r="A403" s="8"/>
      <c r="D403" s="11"/>
      <c r="G403" s="8"/>
    </row>
    <row r="404" spans="1:7">
      <c r="A404" s="8"/>
      <c r="D404" s="11"/>
      <c r="G404" s="8"/>
    </row>
    <row r="405" spans="1:7">
      <c r="A405" s="8"/>
      <c r="D405" s="11"/>
      <c r="G405" s="8"/>
    </row>
    <row r="406" spans="1:7">
      <c r="A406" s="8"/>
      <c r="D406" s="11"/>
      <c r="G406" s="8"/>
    </row>
    <row r="407" spans="1:7">
      <c r="A407" s="8"/>
      <c r="D407" s="11"/>
      <c r="G407" s="8"/>
    </row>
    <row r="408" spans="1:7">
      <c r="A408" s="8"/>
      <c r="D408" s="11"/>
      <c r="G408" s="8"/>
    </row>
    <row r="409" spans="1:7">
      <c r="A409" s="8"/>
      <c r="D409" s="11"/>
      <c r="G409" s="8"/>
    </row>
    <row r="410" spans="1:7">
      <c r="A410" s="8"/>
      <c r="D410" s="11"/>
      <c r="G410" s="8"/>
    </row>
    <row r="411" spans="1:7">
      <c r="A411" s="8"/>
      <c r="D411" s="11"/>
      <c r="G411" s="8"/>
    </row>
    <row r="412" spans="1:7">
      <c r="A412" s="8"/>
      <c r="D412" s="11"/>
      <c r="G412" s="8"/>
    </row>
    <row r="413" spans="1:7">
      <c r="A413" s="8"/>
      <c r="D413" s="11"/>
      <c r="G413" s="8"/>
    </row>
    <row r="414" spans="1:7">
      <c r="A414" s="8"/>
      <c r="D414" s="11"/>
      <c r="G414" s="8"/>
    </row>
    <row r="415" spans="1:7">
      <c r="A415" s="8"/>
      <c r="D415" s="11"/>
      <c r="G415" s="8"/>
    </row>
    <row r="416" spans="1:7">
      <c r="A416" s="8"/>
      <c r="D416" s="11"/>
      <c r="G416" s="8"/>
    </row>
    <row r="417" spans="1:7">
      <c r="A417" s="8"/>
      <c r="D417" s="11"/>
      <c r="G417" s="8"/>
    </row>
    <row r="418" spans="1:7">
      <c r="A418" s="8"/>
      <c r="D418" s="11"/>
      <c r="G418" s="8"/>
    </row>
    <row r="419" spans="1:7">
      <c r="A419" s="8"/>
      <c r="D419" s="11"/>
      <c r="G419" s="8"/>
    </row>
    <row r="420" spans="1:7">
      <c r="A420" s="8"/>
      <c r="D420" s="11"/>
      <c r="G420" s="8"/>
    </row>
    <row r="421" spans="1:7">
      <c r="A421" s="8"/>
      <c r="D421" s="11"/>
      <c r="G421" s="8"/>
    </row>
    <row r="422" spans="1:7">
      <c r="A422" s="8"/>
      <c r="D422" s="11"/>
      <c r="G422" s="8"/>
    </row>
    <row r="423" spans="1:7">
      <c r="A423" s="8"/>
      <c r="D423" s="11"/>
      <c r="G423" s="8"/>
    </row>
    <row r="424" spans="1:7">
      <c r="A424" s="8"/>
      <c r="D424" s="11"/>
      <c r="G424" s="8"/>
    </row>
    <row r="425" spans="1:7">
      <c r="A425" s="8"/>
      <c r="D425" s="11"/>
      <c r="G425" s="8"/>
    </row>
    <row r="426" spans="1:7">
      <c r="A426" s="8"/>
      <c r="D426" s="11"/>
      <c r="G426" s="8"/>
    </row>
    <row r="427" spans="1:7">
      <c r="A427" s="8"/>
      <c r="D427" s="11"/>
      <c r="G427" s="8"/>
    </row>
    <row r="428" spans="1:7">
      <c r="A428" s="8"/>
      <c r="D428" s="11"/>
      <c r="G428" s="8"/>
    </row>
    <row r="429" spans="1:7">
      <c r="A429" s="8"/>
      <c r="D429" s="11"/>
      <c r="G429" s="8"/>
    </row>
    <row r="430" spans="1:7">
      <c r="A430" s="8"/>
      <c r="D430" s="11"/>
      <c r="G430" s="8"/>
    </row>
    <row r="431" spans="1:7">
      <c r="A431" s="8"/>
      <c r="D431" s="11"/>
      <c r="G431" s="8"/>
    </row>
    <row r="432" spans="1:7">
      <c r="A432" s="8"/>
      <c r="D432" s="11"/>
      <c r="G432" s="8"/>
    </row>
    <row r="433" spans="1:7">
      <c r="A433" s="8"/>
      <c r="D433" s="11"/>
      <c r="G433" s="8"/>
    </row>
    <row r="434" spans="1:7">
      <c r="A434" s="8"/>
      <c r="D434" s="11"/>
      <c r="G434" s="8"/>
    </row>
    <row r="435" spans="1:7">
      <c r="A435" s="8"/>
      <c r="D435" s="11"/>
      <c r="G435" s="8"/>
    </row>
    <row r="436" spans="1:7">
      <c r="A436" s="8"/>
      <c r="D436" s="11"/>
      <c r="G436" s="8"/>
    </row>
    <row r="437" spans="1:7">
      <c r="A437" s="8"/>
      <c r="D437" s="11"/>
      <c r="G437" s="8"/>
    </row>
    <row r="438" spans="1:7">
      <c r="A438" s="8"/>
      <c r="D438" s="11"/>
      <c r="G438" s="8"/>
    </row>
    <row r="439" spans="1:7">
      <c r="A439" s="8"/>
      <c r="D439" s="11"/>
      <c r="G439" s="8"/>
    </row>
    <row r="440" spans="1:7">
      <c r="A440" s="8"/>
      <c r="D440" s="11"/>
      <c r="G440" s="8"/>
    </row>
    <row r="441" spans="1:7">
      <c r="A441" s="8"/>
      <c r="D441" s="11"/>
      <c r="G441" s="8"/>
    </row>
    <row r="442" spans="1:7">
      <c r="A442" s="8"/>
      <c r="D442" s="11"/>
      <c r="G442" s="8"/>
    </row>
    <row r="443" spans="1:7">
      <c r="A443" s="8"/>
      <c r="D443" s="11"/>
      <c r="G443" s="8"/>
    </row>
    <row r="444" spans="1:7">
      <c r="A444" s="8"/>
      <c r="D444" s="11"/>
      <c r="G444" s="8"/>
    </row>
    <row r="445" spans="1:7">
      <c r="A445" s="8"/>
      <c r="D445" s="11"/>
      <c r="G445" s="8"/>
    </row>
    <row r="446" spans="1:7">
      <c r="A446" s="8"/>
      <c r="D446" s="11"/>
      <c r="G446" s="8"/>
    </row>
    <row r="447" spans="1:7">
      <c r="A447" s="8"/>
      <c r="D447" s="11"/>
      <c r="G447" s="8"/>
    </row>
    <row r="448" spans="1:7">
      <c r="A448" s="8"/>
      <c r="D448" s="11"/>
      <c r="G448" s="8"/>
    </row>
    <row r="449" spans="1:7">
      <c r="A449" s="8"/>
      <c r="D449" s="11"/>
      <c r="G449" s="8"/>
    </row>
    <row r="450" spans="1:7">
      <c r="A450" s="8"/>
      <c r="D450" s="11"/>
      <c r="G450" s="8"/>
    </row>
    <row r="451" spans="1:7">
      <c r="A451" s="8"/>
      <c r="D451" s="11"/>
      <c r="G451" s="8"/>
    </row>
    <row r="452" spans="1:7">
      <c r="A452" s="8"/>
      <c r="D452" s="11"/>
      <c r="G452" s="8"/>
    </row>
    <row r="453" spans="1:7">
      <c r="A453" s="8"/>
      <c r="D453" s="11"/>
      <c r="G453" s="8"/>
    </row>
    <row r="454" spans="1:7">
      <c r="A454" s="8"/>
      <c r="D454" s="11"/>
      <c r="G454" s="8"/>
    </row>
    <row r="455" spans="1:7">
      <c r="A455" s="8"/>
      <c r="D455" s="11"/>
      <c r="G455" s="8"/>
    </row>
    <row r="456" spans="1:7">
      <c r="A456" s="8"/>
      <c r="D456" s="11"/>
      <c r="G456" s="8"/>
    </row>
    <row r="457" spans="1:7">
      <c r="A457" s="8"/>
      <c r="D457" s="11"/>
      <c r="G457" s="8"/>
    </row>
    <row r="458" spans="1:7">
      <c r="A458" s="8"/>
      <c r="D458" s="11"/>
      <c r="G458" s="8"/>
    </row>
    <row r="459" spans="1:7">
      <c r="A459" s="8"/>
      <c r="D459" s="11"/>
      <c r="G459" s="8"/>
    </row>
    <row r="460" spans="1:7">
      <c r="A460" s="8"/>
      <c r="D460" s="11"/>
      <c r="G460" s="8"/>
    </row>
    <row r="461" spans="1:7">
      <c r="A461" s="8"/>
      <c r="D461" s="11"/>
      <c r="G461" s="8"/>
    </row>
    <row r="462" spans="1:7">
      <c r="A462" s="8"/>
      <c r="D462" s="11"/>
      <c r="G462" s="8"/>
    </row>
    <row r="463" spans="1:7">
      <c r="A463" s="8"/>
      <c r="D463" s="11"/>
      <c r="G463" s="8"/>
    </row>
    <row r="464" spans="1:7">
      <c r="A464" s="8"/>
      <c r="D464" s="11"/>
      <c r="G464" s="8"/>
    </row>
    <row r="465" spans="1:7">
      <c r="A465" s="8"/>
      <c r="D465" s="11"/>
      <c r="G465" s="8"/>
    </row>
    <row r="466" spans="1:7">
      <c r="A466" s="8"/>
      <c r="D466" s="11"/>
      <c r="G466" s="8"/>
    </row>
    <row r="467" spans="1:7">
      <c r="A467" s="8"/>
      <c r="D467" s="11"/>
      <c r="G467" s="8"/>
    </row>
    <row r="468" spans="1:7">
      <c r="A468" s="8"/>
      <c r="D468" s="11"/>
      <c r="G468" s="8"/>
    </row>
    <row r="469" spans="1:7">
      <c r="A469" s="8"/>
      <c r="D469" s="11"/>
      <c r="G469" s="8"/>
    </row>
    <row r="470" spans="1:7">
      <c r="A470" s="8"/>
      <c r="D470" s="11"/>
      <c r="G470" s="8"/>
    </row>
    <row r="471" spans="1:7">
      <c r="A471" s="8"/>
      <c r="D471" s="11"/>
      <c r="G471" s="8"/>
    </row>
    <row r="472" spans="1:7">
      <c r="A472" s="8"/>
      <c r="D472" s="11"/>
      <c r="G472" s="8"/>
    </row>
    <row r="473" spans="1:7">
      <c r="A473" s="8"/>
      <c r="D473" s="11"/>
      <c r="G473" s="8"/>
    </row>
    <row r="474" spans="1:7">
      <c r="A474" s="8"/>
      <c r="D474" s="11"/>
      <c r="G474" s="8"/>
    </row>
    <row r="475" spans="1:7">
      <c r="A475" s="8"/>
      <c r="D475" s="11"/>
      <c r="G475" s="8"/>
    </row>
    <row r="476" spans="1:7">
      <c r="A476" s="8"/>
      <c r="D476" s="11"/>
      <c r="G476" s="8"/>
    </row>
    <row r="477" spans="1:7">
      <c r="A477" s="8"/>
      <c r="D477" s="11"/>
      <c r="G477" s="8"/>
    </row>
    <row r="478" spans="1:7">
      <c r="A478" s="8"/>
      <c r="D478" s="11"/>
      <c r="G478" s="8"/>
    </row>
    <row r="479" spans="1:7">
      <c r="A479" s="8"/>
      <c r="D479" s="11"/>
      <c r="G479" s="8"/>
    </row>
    <row r="480" spans="1:7">
      <c r="A480" s="8"/>
      <c r="D480" s="11"/>
      <c r="G480" s="8"/>
    </row>
    <row r="481" spans="1:7">
      <c r="A481" s="8"/>
      <c r="D481" s="11"/>
      <c r="G481" s="8"/>
    </row>
    <row r="482" spans="1:7">
      <c r="A482" s="8"/>
      <c r="D482" s="11"/>
      <c r="G482" s="8"/>
    </row>
    <row r="483" spans="1:7">
      <c r="A483" s="8"/>
      <c r="D483" s="11"/>
      <c r="G483" s="8"/>
    </row>
    <row r="484" spans="1:7">
      <c r="A484" s="8"/>
      <c r="D484" s="11"/>
      <c r="G484" s="8"/>
    </row>
    <row r="485" spans="1:7">
      <c r="A485" s="8"/>
      <c r="D485" s="11"/>
      <c r="G485" s="8"/>
    </row>
    <row r="486" spans="1:7">
      <c r="A486" s="8"/>
      <c r="D486" s="11"/>
      <c r="G486" s="8"/>
    </row>
    <row r="487" spans="1:7">
      <c r="A487" s="8"/>
      <c r="D487" s="11"/>
      <c r="G487" s="8"/>
    </row>
    <row r="488" spans="1:7">
      <c r="A488" s="8"/>
      <c r="D488" s="11"/>
      <c r="G488" s="8"/>
    </row>
    <row r="489" spans="1:7">
      <c r="A489" s="8"/>
      <c r="D489" s="11"/>
      <c r="G489" s="8"/>
    </row>
    <row r="490" spans="1:7">
      <c r="A490" s="8"/>
      <c r="D490" s="11"/>
      <c r="G490" s="8"/>
    </row>
    <row r="491" spans="1:7">
      <c r="A491" s="8"/>
      <c r="D491" s="11"/>
      <c r="G491" s="8"/>
    </row>
    <row r="492" spans="1:7">
      <c r="A492" s="8"/>
      <c r="D492" s="11"/>
      <c r="G492" s="8"/>
    </row>
    <row r="493" spans="1:7">
      <c r="A493" s="8"/>
      <c r="D493" s="11"/>
      <c r="G493" s="8"/>
    </row>
    <row r="494" spans="1:7">
      <c r="A494" s="8"/>
      <c r="D494" s="11"/>
      <c r="G494" s="8"/>
    </row>
    <row r="495" spans="1:7">
      <c r="A495" s="8"/>
      <c r="D495" s="11"/>
      <c r="G495" s="8"/>
    </row>
    <row r="496" spans="1:7">
      <c r="A496" s="8"/>
      <c r="D496" s="11"/>
      <c r="G496" s="8"/>
    </row>
    <row r="497" spans="1:7">
      <c r="A497" s="8"/>
      <c r="D497" s="11"/>
      <c r="G497" s="8"/>
    </row>
    <row r="498" spans="1:7">
      <c r="A498" s="8"/>
      <c r="D498" s="11"/>
      <c r="G498" s="8"/>
    </row>
    <row r="499" spans="1:7">
      <c r="A499" s="8"/>
      <c r="D499" s="11"/>
      <c r="G499" s="8"/>
    </row>
    <row r="500" spans="1:7">
      <c r="A500" s="8"/>
      <c r="D500" s="11"/>
      <c r="G500" s="8"/>
    </row>
  </sheetData>
  <conditionalFormatting sqref="H2:H500">
    <cfRule type="expression" dxfId="44" priority="1">
      <formula>$H2="Cerrada"</formula>
    </cfRule>
    <cfRule type="expression" dxfId="43" priority="2">
      <formula>$H2="Vigente"</formula>
    </cfRule>
    <cfRule type="expression" dxfId="42" priority="3">
      <formula>$H2="Cumple"</formula>
    </cfRule>
    <cfRule type="expression" dxfId="41" priority="4">
      <formula>$H2="Pendiente"</formula>
    </cfRule>
    <cfRule type="expression" dxfId="40" priority="5">
      <formula>$H2="En proceso"</formula>
    </cfRule>
    <cfRule type="expression" dxfId="39" priority="6">
      <formula>$H2="Vencida"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00"/>
  <sheetViews>
    <sheetView workbookViewId="0"/>
  </sheetViews>
  <sheetFormatPr baseColWidth="10" defaultColWidth="8.6640625" defaultRowHeight="14"/>
  <cols>
    <col min="1" max="1" width="9.25" customWidth="1"/>
    <col min="2" max="2" width="12.58203125" customWidth="1"/>
    <col min="3" max="3" width="10.9140625" customWidth="1"/>
    <col min="4" max="4" width="20.25" customWidth="1"/>
    <col min="5" max="5" width="28.25" customWidth="1"/>
    <col min="6" max="6" width="13.1640625" customWidth="1"/>
    <col min="7" max="7" width="16.5" customWidth="1"/>
    <col min="8" max="8" width="9.75" customWidth="1"/>
    <col min="9" max="9" width="11.83203125" customWidth="1"/>
    <col min="10" max="10" width="20.6640625" customWidth="1"/>
  </cols>
  <sheetData>
    <row r="1" spans="1:10" ht="15.15" customHeight="1">
      <c r="A1" s="5" t="s">
        <v>0</v>
      </c>
      <c r="B1" s="5" t="s">
        <v>178</v>
      </c>
      <c r="C1" s="5" t="s">
        <v>1</v>
      </c>
      <c r="D1" s="5" t="s">
        <v>7</v>
      </c>
      <c r="E1" s="5" t="s">
        <v>179</v>
      </c>
      <c r="F1" s="5" t="s">
        <v>8</v>
      </c>
      <c r="G1" s="5" t="s">
        <v>161</v>
      </c>
      <c r="H1" s="5" t="s">
        <v>9</v>
      </c>
      <c r="I1" s="5" t="s">
        <v>10</v>
      </c>
      <c r="J1" s="5" t="s">
        <v>114</v>
      </c>
    </row>
    <row r="2" spans="1:10" ht="17.75" customHeight="1">
      <c r="A2" s="20">
        <v>46206</v>
      </c>
      <c r="B2" s="21" t="s">
        <v>77</v>
      </c>
      <c r="C2" s="21" t="s">
        <v>18</v>
      </c>
      <c r="D2" s="21" t="s">
        <v>165</v>
      </c>
      <c r="E2" s="21" t="s">
        <v>180</v>
      </c>
      <c r="F2" s="21" t="s">
        <v>166</v>
      </c>
      <c r="G2" s="20">
        <v>46219</v>
      </c>
      <c r="H2" s="21" t="s">
        <v>73</v>
      </c>
      <c r="I2" s="21"/>
      <c r="J2" s="21" t="s">
        <v>181</v>
      </c>
    </row>
    <row r="3" spans="1:10" ht="17.75" customHeight="1">
      <c r="A3" s="20">
        <v>46204</v>
      </c>
      <c r="B3" s="21" t="s">
        <v>69</v>
      </c>
      <c r="C3" s="21" t="s">
        <v>11</v>
      </c>
      <c r="D3" s="21" t="s">
        <v>182</v>
      </c>
      <c r="E3" s="21" t="s">
        <v>183</v>
      </c>
      <c r="F3" s="21" t="s">
        <v>118</v>
      </c>
      <c r="G3" s="20">
        <v>46209</v>
      </c>
      <c r="H3" s="21" t="s">
        <v>13</v>
      </c>
      <c r="I3" s="21" t="s">
        <v>184</v>
      </c>
      <c r="J3" s="21" t="s">
        <v>185</v>
      </c>
    </row>
    <row r="4" spans="1:10" ht="17.75" customHeight="1">
      <c r="A4" s="20">
        <v>46209</v>
      </c>
      <c r="B4" s="21" t="s">
        <v>34</v>
      </c>
      <c r="C4" s="21" t="s">
        <v>11</v>
      </c>
      <c r="D4" s="21" t="s">
        <v>186</v>
      </c>
      <c r="E4" s="21" t="s">
        <v>187</v>
      </c>
      <c r="F4" s="21" t="s">
        <v>188</v>
      </c>
      <c r="G4" s="20">
        <v>46223</v>
      </c>
      <c r="H4" s="21" t="s">
        <v>73</v>
      </c>
      <c r="I4" s="21"/>
      <c r="J4" s="21" t="s">
        <v>189</v>
      </c>
    </row>
    <row r="5" spans="1:10" ht="17.75" customHeight="1">
      <c r="A5" s="20">
        <v>46211</v>
      </c>
      <c r="B5" s="21" t="s">
        <v>69</v>
      </c>
      <c r="C5" s="21" t="s">
        <v>14</v>
      </c>
      <c r="D5" s="21" t="s">
        <v>190</v>
      </c>
      <c r="E5" s="21" t="s">
        <v>191</v>
      </c>
      <c r="F5" s="21" t="s">
        <v>143</v>
      </c>
      <c r="G5" s="20">
        <v>46221</v>
      </c>
      <c r="H5" s="21" t="s">
        <v>66</v>
      </c>
      <c r="I5" s="21"/>
      <c r="J5" s="21" t="s">
        <v>192</v>
      </c>
    </row>
    <row r="6" spans="1:10" ht="17.75" customHeight="1">
      <c r="A6" s="20">
        <v>46213</v>
      </c>
      <c r="B6" s="21" t="s">
        <v>49</v>
      </c>
      <c r="C6" s="21" t="s">
        <v>21</v>
      </c>
      <c r="D6" s="21" t="s">
        <v>193</v>
      </c>
      <c r="E6" s="21" t="s">
        <v>194</v>
      </c>
      <c r="F6" s="21" t="s">
        <v>157</v>
      </c>
      <c r="G6" s="20">
        <v>46222</v>
      </c>
      <c r="H6" s="21" t="s">
        <v>66</v>
      </c>
      <c r="I6" s="21"/>
      <c r="J6" s="21" t="s">
        <v>195</v>
      </c>
    </row>
    <row r="7" spans="1:10">
      <c r="A7" s="19"/>
      <c r="B7" s="16"/>
      <c r="C7" s="16"/>
      <c r="D7" s="16"/>
      <c r="E7" s="16"/>
      <c r="F7" s="16"/>
      <c r="G7" s="19"/>
      <c r="H7" s="16"/>
      <c r="I7" s="16"/>
      <c r="J7" s="16"/>
    </row>
    <row r="8" spans="1:10">
      <c r="A8" s="19"/>
      <c r="B8" s="16"/>
      <c r="C8" s="16"/>
      <c r="D8" s="16"/>
      <c r="E8" s="16"/>
      <c r="F8" s="16"/>
      <c r="G8" s="19"/>
      <c r="H8" s="16"/>
      <c r="I8" s="16"/>
      <c r="J8" s="16"/>
    </row>
    <row r="9" spans="1:10">
      <c r="A9" s="19"/>
      <c r="B9" s="16"/>
      <c r="C9" s="16"/>
      <c r="D9" s="16"/>
      <c r="E9" s="16"/>
      <c r="F9" s="16"/>
      <c r="G9" s="19"/>
      <c r="H9" s="16"/>
      <c r="I9" s="16"/>
      <c r="J9" s="16"/>
    </row>
    <row r="10" spans="1:10">
      <c r="A10" s="19"/>
      <c r="B10" s="16"/>
      <c r="C10" s="16"/>
      <c r="D10" s="16"/>
      <c r="E10" s="16"/>
      <c r="F10" s="16"/>
      <c r="G10" s="19"/>
      <c r="H10" s="16"/>
      <c r="I10" s="16"/>
      <c r="J10" s="16"/>
    </row>
    <row r="11" spans="1:10">
      <c r="A11" s="19"/>
      <c r="B11" s="16"/>
      <c r="C11" s="16"/>
      <c r="D11" s="16"/>
      <c r="E11" s="16"/>
      <c r="F11" s="16"/>
      <c r="G11" s="19"/>
      <c r="H11" s="16"/>
      <c r="I11" s="16"/>
      <c r="J11" s="16"/>
    </row>
    <row r="12" spans="1:10">
      <c r="A12" s="19"/>
      <c r="B12" s="16"/>
      <c r="C12" s="16"/>
      <c r="D12" s="16"/>
      <c r="E12" s="16"/>
      <c r="F12" s="16"/>
      <c r="G12" s="19"/>
      <c r="H12" s="16"/>
      <c r="I12" s="16"/>
      <c r="J12" s="16"/>
    </row>
    <row r="13" spans="1:10">
      <c r="A13" s="19"/>
      <c r="B13" s="16"/>
      <c r="C13" s="16"/>
      <c r="D13" s="16"/>
      <c r="E13" s="16"/>
      <c r="F13" s="16"/>
      <c r="G13" s="19"/>
      <c r="H13" s="16"/>
      <c r="I13" s="16"/>
      <c r="J13" s="16"/>
    </row>
    <row r="14" spans="1:10">
      <c r="A14" s="19"/>
      <c r="B14" s="16"/>
      <c r="C14" s="16"/>
      <c r="D14" s="16"/>
      <c r="E14" s="16"/>
      <c r="F14" s="16"/>
      <c r="G14" s="19"/>
      <c r="H14" s="16"/>
      <c r="I14" s="16"/>
      <c r="J14" s="16"/>
    </row>
    <row r="15" spans="1:10">
      <c r="A15" s="19"/>
      <c r="B15" s="16"/>
      <c r="C15" s="16"/>
      <c r="D15" s="16"/>
      <c r="E15" s="16"/>
      <c r="F15" s="16"/>
      <c r="G15" s="19"/>
      <c r="H15" s="16"/>
      <c r="I15" s="16"/>
      <c r="J15" s="16"/>
    </row>
    <row r="16" spans="1:10">
      <c r="A16" s="19"/>
      <c r="B16" s="16"/>
      <c r="C16" s="16"/>
      <c r="D16" s="16"/>
      <c r="E16" s="16"/>
      <c r="F16" s="16"/>
      <c r="G16" s="19"/>
      <c r="H16" s="16"/>
      <c r="I16" s="16"/>
      <c r="J16" s="16"/>
    </row>
    <row r="17" spans="1:10">
      <c r="A17" s="19"/>
      <c r="B17" s="16"/>
      <c r="C17" s="16"/>
      <c r="D17" s="16"/>
      <c r="E17" s="16"/>
      <c r="F17" s="16"/>
      <c r="G17" s="19"/>
      <c r="H17" s="16"/>
      <c r="I17" s="16"/>
      <c r="J17" s="16"/>
    </row>
    <row r="18" spans="1:10">
      <c r="A18" s="19"/>
      <c r="B18" s="16"/>
      <c r="C18" s="16"/>
      <c r="D18" s="16"/>
      <c r="E18" s="16"/>
      <c r="F18" s="16"/>
      <c r="G18" s="19"/>
      <c r="H18" s="16"/>
      <c r="I18" s="16"/>
      <c r="J18" s="16"/>
    </row>
    <row r="19" spans="1:10">
      <c r="A19" s="19"/>
      <c r="B19" s="16"/>
      <c r="C19" s="16"/>
      <c r="D19" s="16"/>
      <c r="E19" s="16"/>
      <c r="F19" s="16"/>
      <c r="G19" s="19"/>
      <c r="H19" s="16"/>
      <c r="I19" s="16"/>
      <c r="J19" s="16"/>
    </row>
    <row r="20" spans="1:10">
      <c r="A20" s="19"/>
      <c r="B20" s="16"/>
      <c r="C20" s="16"/>
      <c r="D20" s="16"/>
      <c r="E20" s="16"/>
      <c r="F20" s="16"/>
      <c r="G20" s="19"/>
      <c r="H20" s="16"/>
      <c r="I20" s="16"/>
      <c r="J20" s="16"/>
    </row>
    <row r="21" spans="1:10">
      <c r="A21" s="19"/>
      <c r="B21" s="16"/>
      <c r="C21" s="16"/>
      <c r="D21" s="16"/>
      <c r="E21" s="16"/>
      <c r="F21" s="16"/>
      <c r="G21" s="19"/>
      <c r="H21" s="16"/>
      <c r="I21" s="16"/>
      <c r="J21" s="16"/>
    </row>
    <row r="22" spans="1:10">
      <c r="A22" s="19"/>
      <c r="B22" s="16"/>
      <c r="C22" s="16"/>
      <c r="D22" s="16"/>
      <c r="E22" s="16"/>
      <c r="F22" s="16"/>
      <c r="G22" s="19"/>
      <c r="H22" s="16"/>
      <c r="I22" s="16"/>
      <c r="J22" s="16"/>
    </row>
    <row r="23" spans="1:10">
      <c r="A23" s="19"/>
      <c r="B23" s="16"/>
      <c r="C23" s="16"/>
      <c r="D23" s="16"/>
      <c r="E23" s="16"/>
      <c r="F23" s="16"/>
      <c r="G23" s="19"/>
      <c r="H23" s="16"/>
      <c r="I23" s="16"/>
      <c r="J23" s="16"/>
    </row>
    <row r="24" spans="1:10">
      <c r="A24" s="19"/>
      <c r="B24" s="16"/>
      <c r="C24" s="16"/>
      <c r="D24" s="16"/>
      <c r="E24" s="16"/>
      <c r="F24" s="16"/>
      <c r="G24" s="19"/>
      <c r="H24" s="16"/>
      <c r="I24" s="16"/>
      <c r="J24" s="16"/>
    </row>
    <row r="25" spans="1:10">
      <c r="A25" s="19"/>
      <c r="B25" s="16"/>
      <c r="C25" s="16"/>
      <c r="D25" s="16"/>
      <c r="E25" s="16"/>
      <c r="F25" s="16"/>
      <c r="G25" s="19"/>
      <c r="H25" s="16"/>
      <c r="I25" s="16"/>
      <c r="J25" s="16"/>
    </row>
    <row r="26" spans="1:10">
      <c r="A26" s="19"/>
      <c r="B26" s="16"/>
      <c r="C26" s="16"/>
      <c r="D26" s="16"/>
      <c r="E26" s="16"/>
      <c r="F26" s="16"/>
      <c r="G26" s="19"/>
      <c r="H26" s="16"/>
      <c r="I26" s="16"/>
      <c r="J26" s="16"/>
    </row>
    <row r="27" spans="1:10">
      <c r="A27" s="19"/>
      <c r="B27" s="16"/>
      <c r="C27" s="16"/>
      <c r="D27" s="16"/>
      <c r="E27" s="16"/>
      <c r="F27" s="16"/>
      <c r="G27" s="19"/>
      <c r="H27" s="16"/>
      <c r="I27" s="16"/>
      <c r="J27" s="16"/>
    </row>
    <row r="28" spans="1:10">
      <c r="A28" s="19"/>
      <c r="B28" s="16"/>
      <c r="C28" s="16"/>
      <c r="D28" s="16"/>
      <c r="E28" s="16"/>
      <c r="F28" s="16"/>
      <c r="G28" s="19"/>
      <c r="H28" s="16"/>
      <c r="I28" s="16"/>
      <c r="J28" s="16"/>
    </row>
    <row r="29" spans="1:10">
      <c r="A29" s="19"/>
      <c r="B29" s="16"/>
      <c r="C29" s="16"/>
      <c r="D29" s="16"/>
      <c r="E29" s="16"/>
      <c r="F29" s="16"/>
      <c r="G29" s="19"/>
      <c r="H29" s="16"/>
      <c r="I29" s="16"/>
      <c r="J29" s="16"/>
    </row>
    <row r="30" spans="1:10">
      <c r="A30" s="19"/>
      <c r="B30" s="16"/>
      <c r="C30" s="16"/>
      <c r="D30" s="16"/>
      <c r="E30" s="16"/>
      <c r="F30" s="16"/>
      <c r="G30" s="19"/>
      <c r="H30" s="16"/>
      <c r="I30" s="16"/>
      <c r="J30" s="16"/>
    </row>
    <row r="31" spans="1:10">
      <c r="A31" s="19"/>
      <c r="B31" s="16"/>
      <c r="C31" s="16"/>
      <c r="D31" s="16"/>
      <c r="E31" s="16"/>
      <c r="F31" s="16"/>
      <c r="G31" s="19"/>
      <c r="H31" s="16"/>
      <c r="I31" s="16"/>
      <c r="J31" s="16"/>
    </row>
    <row r="32" spans="1:10">
      <c r="A32" s="19"/>
      <c r="B32" s="16"/>
      <c r="C32" s="16"/>
      <c r="D32" s="16"/>
      <c r="E32" s="16"/>
      <c r="F32" s="16"/>
      <c r="G32" s="19"/>
      <c r="H32" s="16"/>
      <c r="I32" s="16"/>
      <c r="J32" s="16"/>
    </row>
    <row r="33" spans="1:10">
      <c r="A33" s="19"/>
      <c r="B33" s="16"/>
      <c r="C33" s="16"/>
      <c r="D33" s="16"/>
      <c r="E33" s="16"/>
      <c r="F33" s="16"/>
      <c r="G33" s="19"/>
      <c r="H33" s="16"/>
      <c r="I33" s="16"/>
      <c r="J33" s="16"/>
    </row>
    <row r="34" spans="1:10">
      <c r="A34" s="8"/>
      <c r="G34" s="8"/>
    </row>
    <row r="35" spans="1:10">
      <c r="A35" s="8"/>
      <c r="G35" s="8"/>
    </row>
    <row r="36" spans="1:10">
      <c r="A36" s="8"/>
      <c r="G36" s="8"/>
    </row>
    <row r="37" spans="1:10">
      <c r="A37" s="8"/>
      <c r="G37" s="8"/>
    </row>
    <row r="38" spans="1:10">
      <c r="A38" s="8"/>
      <c r="G38" s="8"/>
    </row>
    <row r="39" spans="1:10">
      <c r="A39" s="8"/>
      <c r="G39" s="8"/>
    </row>
    <row r="40" spans="1:10">
      <c r="A40" s="8"/>
      <c r="G40" s="8"/>
    </row>
    <row r="41" spans="1:10">
      <c r="A41" s="8"/>
      <c r="G41" s="8"/>
    </row>
    <row r="42" spans="1:10">
      <c r="A42" s="8"/>
      <c r="G42" s="8"/>
    </row>
    <row r="43" spans="1:10">
      <c r="A43" s="8"/>
      <c r="G43" s="8"/>
    </row>
    <row r="44" spans="1:10">
      <c r="A44" s="8"/>
      <c r="G44" s="8"/>
    </row>
    <row r="45" spans="1:10">
      <c r="A45" s="8"/>
      <c r="G45" s="8"/>
    </row>
    <row r="46" spans="1:10">
      <c r="A46" s="8"/>
      <c r="G46" s="8"/>
    </row>
    <row r="47" spans="1:10">
      <c r="A47" s="8"/>
      <c r="G47" s="8"/>
    </row>
    <row r="48" spans="1:10">
      <c r="A48" s="8"/>
      <c r="G48" s="8"/>
    </row>
    <row r="49" spans="1:7">
      <c r="A49" s="8"/>
      <c r="G49" s="8"/>
    </row>
    <row r="50" spans="1:7">
      <c r="A50" s="8"/>
      <c r="G50" s="8"/>
    </row>
    <row r="51" spans="1:7">
      <c r="A51" s="8"/>
      <c r="G51" s="8"/>
    </row>
    <row r="52" spans="1:7">
      <c r="A52" s="8"/>
      <c r="G52" s="8"/>
    </row>
    <row r="53" spans="1:7">
      <c r="A53" s="8"/>
      <c r="G53" s="8"/>
    </row>
    <row r="54" spans="1:7">
      <c r="A54" s="8"/>
      <c r="G54" s="8"/>
    </row>
    <row r="55" spans="1:7">
      <c r="A55" s="8"/>
      <c r="G55" s="8"/>
    </row>
    <row r="56" spans="1:7">
      <c r="A56" s="8"/>
      <c r="G56" s="8"/>
    </row>
    <row r="57" spans="1:7">
      <c r="A57" s="8"/>
      <c r="G57" s="8"/>
    </row>
    <row r="58" spans="1:7">
      <c r="A58" s="8"/>
      <c r="G58" s="8"/>
    </row>
    <row r="59" spans="1:7">
      <c r="A59" s="8"/>
      <c r="G59" s="8"/>
    </row>
    <row r="60" spans="1:7">
      <c r="A60" s="8"/>
      <c r="G60" s="8"/>
    </row>
    <row r="61" spans="1:7">
      <c r="A61" s="8"/>
      <c r="G61" s="8"/>
    </row>
    <row r="62" spans="1:7">
      <c r="A62" s="8"/>
      <c r="G62" s="8"/>
    </row>
    <row r="63" spans="1:7">
      <c r="A63" s="8"/>
      <c r="G63" s="8"/>
    </row>
    <row r="64" spans="1:7">
      <c r="A64" s="8"/>
      <c r="G64" s="8"/>
    </row>
    <row r="65" spans="1:7">
      <c r="A65" s="8"/>
      <c r="G65" s="8"/>
    </row>
    <row r="66" spans="1:7">
      <c r="A66" s="8"/>
      <c r="G66" s="8"/>
    </row>
    <row r="67" spans="1:7">
      <c r="A67" s="8"/>
      <c r="G67" s="8"/>
    </row>
    <row r="68" spans="1:7">
      <c r="A68" s="8"/>
      <c r="G68" s="8"/>
    </row>
    <row r="69" spans="1:7">
      <c r="A69" s="8"/>
      <c r="G69" s="8"/>
    </row>
    <row r="70" spans="1:7">
      <c r="A70" s="8"/>
      <c r="G70" s="8"/>
    </row>
    <row r="71" spans="1:7">
      <c r="A71" s="8"/>
      <c r="G71" s="8"/>
    </row>
    <row r="72" spans="1:7">
      <c r="A72" s="8"/>
      <c r="G72" s="8"/>
    </row>
    <row r="73" spans="1:7">
      <c r="A73" s="8"/>
      <c r="G73" s="8"/>
    </row>
    <row r="74" spans="1:7">
      <c r="A74" s="8"/>
      <c r="G74" s="8"/>
    </row>
    <row r="75" spans="1:7">
      <c r="A75" s="8"/>
      <c r="G75" s="8"/>
    </row>
    <row r="76" spans="1:7">
      <c r="A76" s="8"/>
      <c r="G76" s="8"/>
    </row>
    <row r="77" spans="1:7">
      <c r="A77" s="8"/>
      <c r="G77" s="8"/>
    </row>
    <row r="78" spans="1:7">
      <c r="A78" s="8"/>
      <c r="G78" s="8"/>
    </row>
    <row r="79" spans="1:7">
      <c r="A79" s="8"/>
      <c r="G79" s="8"/>
    </row>
    <row r="80" spans="1:7">
      <c r="A80" s="8"/>
      <c r="G80" s="8"/>
    </row>
    <row r="81" spans="1:7">
      <c r="A81" s="8"/>
      <c r="G81" s="8"/>
    </row>
    <row r="82" spans="1:7">
      <c r="A82" s="8"/>
      <c r="G82" s="8"/>
    </row>
    <row r="83" spans="1:7">
      <c r="A83" s="8"/>
      <c r="G83" s="8"/>
    </row>
    <row r="84" spans="1:7">
      <c r="A84" s="8"/>
      <c r="G84" s="8"/>
    </row>
    <row r="85" spans="1:7">
      <c r="A85" s="8"/>
      <c r="G85" s="8"/>
    </row>
    <row r="86" spans="1:7">
      <c r="A86" s="8"/>
      <c r="G86" s="8"/>
    </row>
    <row r="87" spans="1:7">
      <c r="A87" s="8"/>
      <c r="G87" s="8"/>
    </row>
    <row r="88" spans="1:7">
      <c r="A88" s="8"/>
      <c r="G88" s="8"/>
    </row>
    <row r="89" spans="1:7">
      <c r="A89" s="8"/>
      <c r="G89" s="8"/>
    </row>
    <row r="90" spans="1:7">
      <c r="A90" s="8"/>
      <c r="G90" s="8"/>
    </row>
    <row r="91" spans="1:7">
      <c r="A91" s="8"/>
      <c r="G91" s="8"/>
    </row>
    <row r="92" spans="1:7">
      <c r="A92" s="8"/>
      <c r="G92" s="8"/>
    </row>
    <row r="93" spans="1:7">
      <c r="A93" s="8"/>
      <c r="G93" s="8"/>
    </row>
    <row r="94" spans="1:7">
      <c r="A94" s="8"/>
      <c r="G94" s="8"/>
    </row>
    <row r="95" spans="1:7">
      <c r="A95" s="8"/>
      <c r="G95" s="8"/>
    </row>
    <row r="96" spans="1:7">
      <c r="A96" s="8"/>
      <c r="G96" s="8"/>
    </row>
    <row r="97" spans="1:7">
      <c r="A97" s="8"/>
      <c r="G97" s="8"/>
    </row>
    <row r="98" spans="1:7">
      <c r="A98" s="8"/>
      <c r="G98" s="8"/>
    </row>
    <row r="99" spans="1:7">
      <c r="A99" s="8"/>
      <c r="G99" s="8"/>
    </row>
    <row r="100" spans="1:7">
      <c r="A100" s="8"/>
      <c r="G100" s="8"/>
    </row>
    <row r="101" spans="1:7">
      <c r="A101" s="8"/>
      <c r="G101" s="8"/>
    </row>
    <row r="102" spans="1:7">
      <c r="A102" s="8"/>
      <c r="G102" s="8"/>
    </row>
    <row r="103" spans="1:7">
      <c r="A103" s="8"/>
      <c r="G103" s="8"/>
    </row>
    <row r="104" spans="1:7">
      <c r="A104" s="8"/>
      <c r="G104" s="8"/>
    </row>
    <row r="105" spans="1:7">
      <c r="A105" s="8"/>
      <c r="G105" s="8"/>
    </row>
    <row r="106" spans="1:7">
      <c r="A106" s="8"/>
      <c r="G106" s="8"/>
    </row>
    <row r="107" spans="1:7">
      <c r="A107" s="8"/>
      <c r="G107" s="8"/>
    </row>
    <row r="108" spans="1:7">
      <c r="A108" s="8"/>
      <c r="G108" s="8"/>
    </row>
    <row r="109" spans="1:7">
      <c r="A109" s="8"/>
      <c r="G109" s="8"/>
    </row>
    <row r="110" spans="1:7">
      <c r="A110" s="8"/>
      <c r="G110" s="8"/>
    </row>
    <row r="111" spans="1:7">
      <c r="A111" s="8"/>
      <c r="G111" s="8"/>
    </row>
    <row r="112" spans="1:7">
      <c r="A112" s="8"/>
      <c r="G112" s="8"/>
    </row>
    <row r="113" spans="1:7">
      <c r="A113" s="8"/>
      <c r="G113" s="8"/>
    </row>
    <row r="114" spans="1:7">
      <c r="A114" s="8"/>
      <c r="G114" s="8"/>
    </row>
    <row r="115" spans="1:7">
      <c r="A115" s="8"/>
      <c r="G115" s="8"/>
    </row>
    <row r="116" spans="1:7">
      <c r="A116" s="8"/>
      <c r="G116" s="8"/>
    </row>
    <row r="117" spans="1:7">
      <c r="A117" s="8"/>
      <c r="G117" s="8"/>
    </row>
    <row r="118" spans="1:7">
      <c r="A118" s="8"/>
      <c r="G118" s="8"/>
    </row>
    <row r="119" spans="1:7">
      <c r="A119" s="8"/>
      <c r="G119" s="8"/>
    </row>
    <row r="120" spans="1:7">
      <c r="A120" s="8"/>
      <c r="G120" s="8"/>
    </row>
    <row r="121" spans="1:7">
      <c r="A121" s="8"/>
      <c r="G121" s="8"/>
    </row>
    <row r="122" spans="1:7">
      <c r="A122" s="8"/>
      <c r="G122" s="8"/>
    </row>
    <row r="123" spans="1:7">
      <c r="A123" s="8"/>
      <c r="G123" s="8"/>
    </row>
    <row r="124" spans="1:7">
      <c r="A124" s="8"/>
      <c r="G124" s="8"/>
    </row>
    <row r="125" spans="1:7">
      <c r="A125" s="8"/>
      <c r="G125" s="8"/>
    </row>
    <row r="126" spans="1:7">
      <c r="A126" s="8"/>
      <c r="G126" s="8"/>
    </row>
    <row r="127" spans="1:7">
      <c r="A127" s="8"/>
      <c r="G127" s="8"/>
    </row>
    <row r="128" spans="1:7">
      <c r="A128" s="8"/>
      <c r="G128" s="8"/>
    </row>
    <row r="129" spans="1:7">
      <c r="A129" s="8"/>
      <c r="G129" s="8"/>
    </row>
    <row r="130" spans="1:7">
      <c r="A130" s="8"/>
      <c r="G130" s="8"/>
    </row>
    <row r="131" spans="1:7">
      <c r="A131" s="8"/>
      <c r="G131" s="8"/>
    </row>
    <row r="132" spans="1:7">
      <c r="A132" s="8"/>
      <c r="G132" s="8"/>
    </row>
    <row r="133" spans="1:7">
      <c r="A133" s="8"/>
      <c r="G133" s="8"/>
    </row>
    <row r="134" spans="1:7">
      <c r="A134" s="8"/>
      <c r="G134" s="8"/>
    </row>
    <row r="135" spans="1:7">
      <c r="A135" s="8"/>
      <c r="G135" s="8"/>
    </row>
    <row r="136" spans="1:7">
      <c r="A136" s="8"/>
      <c r="G136" s="8"/>
    </row>
    <row r="137" spans="1:7">
      <c r="A137" s="8"/>
      <c r="G137" s="8"/>
    </row>
    <row r="138" spans="1:7">
      <c r="A138" s="8"/>
      <c r="G138" s="8"/>
    </row>
    <row r="139" spans="1:7">
      <c r="A139" s="8"/>
      <c r="G139" s="8"/>
    </row>
    <row r="140" spans="1:7">
      <c r="A140" s="8"/>
      <c r="G140" s="8"/>
    </row>
    <row r="141" spans="1:7">
      <c r="A141" s="8"/>
      <c r="G141" s="8"/>
    </row>
    <row r="142" spans="1:7">
      <c r="A142" s="8"/>
      <c r="G142" s="8"/>
    </row>
    <row r="143" spans="1:7">
      <c r="A143" s="8"/>
      <c r="G143" s="8"/>
    </row>
    <row r="144" spans="1:7">
      <c r="A144" s="8"/>
      <c r="G144" s="8"/>
    </row>
    <row r="145" spans="1:7">
      <c r="A145" s="8"/>
      <c r="G145" s="8"/>
    </row>
    <row r="146" spans="1:7">
      <c r="A146" s="8"/>
      <c r="G146" s="8"/>
    </row>
    <row r="147" spans="1:7">
      <c r="A147" s="8"/>
      <c r="G147" s="8"/>
    </row>
    <row r="148" spans="1:7">
      <c r="A148" s="8"/>
      <c r="G148" s="8"/>
    </row>
    <row r="149" spans="1:7">
      <c r="A149" s="8"/>
      <c r="G149" s="8"/>
    </row>
    <row r="150" spans="1:7">
      <c r="A150" s="8"/>
      <c r="G150" s="8"/>
    </row>
    <row r="151" spans="1:7">
      <c r="A151" s="8"/>
      <c r="G151" s="8"/>
    </row>
    <row r="152" spans="1:7">
      <c r="A152" s="8"/>
      <c r="G152" s="8"/>
    </row>
    <row r="153" spans="1:7">
      <c r="A153" s="8"/>
      <c r="G153" s="8"/>
    </row>
    <row r="154" spans="1:7">
      <c r="A154" s="8"/>
      <c r="G154" s="8"/>
    </row>
    <row r="155" spans="1:7">
      <c r="A155" s="8"/>
      <c r="G155" s="8"/>
    </row>
    <row r="156" spans="1:7">
      <c r="A156" s="8"/>
      <c r="G156" s="8"/>
    </row>
    <row r="157" spans="1:7">
      <c r="A157" s="8"/>
      <c r="G157" s="8"/>
    </row>
    <row r="158" spans="1:7">
      <c r="A158" s="8"/>
      <c r="G158" s="8"/>
    </row>
    <row r="159" spans="1:7">
      <c r="A159" s="8"/>
      <c r="G159" s="8"/>
    </row>
    <row r="160" spans="1:7">
      <c r="A160" s="8"/>
      <c r="G160" s="8"/>
    </row>
    <row r="161" spans="1:7">
      <c r="A161" s="8"/>
      <c r="G161" s="8"/>
    </row>
    <row r="162" spans="1:7">
      <c r="A162" s="8"/>
      <c r="G162" s="8"/>
    </row>
    <row r="163" spans="1:7">
      <c r="A163" s="8"/>
      <c r="G163" s="8"/>
    </row>
    <row r="164" spans="1:7">
      <c r="A164" s="8"/>
      <c r="G164" s="8"/>
    </row>
    <row r="165" spans="1:7">
      <c r="A165" s="8"/>
      <c r="G165" s="8"/>
    </row>
    <row r="166" spans="1:7">
      <c r="A166" s="8"/>
      <c r="G166" s="8"/>
    </row>
    <row r="167" spans="1:7">
      <c r="A167" s="8"/>
      <c r="G167" s="8"/>
    </row>
    <row r="168" spans="1:7">
      <c r="A168" s="8"/>
      <c r="G168" s="8"/>
    </row>
    <row r="169" spans="1:7">
      <c r="A169" s="8"/>
      <c r="G169" s="8"/>
    </row>
    <row r="170" spans="1:7">
      <c r="A170" s="8"/>
      <c r="G170" s="8"/>
    </row>
    <row r="171" spans="1:7">
      <c r="A171" s="8"/>
      <c r="G171" s="8"/>
    </row>
    <row r="172" spans="1:7">
      <c r="A172" s="8"/>
      <c r="G172" s="8"/>
    </row>
    <row r="173" spans="1:7">
      <c r="A173" s="8"/>
      <c r="G173" s="8"/>
    </row>
    <row r="174" spans="1:7">
      <c r="A174" s="8"/>
      <c r="G174" s="8"/>
    </row>
    <row r="175" spans="1:7">
      <c r="A175" s="8"/>
      <c r="G175" s="8"/>
    </row>
    <row r="176" spans="1:7">
      <c r="A176" s="8"/>
      <c r="G176" s="8"/>
    </row>
    <row r="177" spans="1:7">
      <c r="A177" s="8"/>
      <c r="G177" s="8"/>
    </row>
    <row r="178" spans="1:7">
      <c r="A178" s="8"/>
      <c r="G178" s="8"/>
    </row>
    <row r="179" spans="1:7">
      <c r="A179" s="8"/>
      <c r="G179" s="8"/>
    </row>
    <row r="180" spans="1:7">
      <c r="A180" s="8"/>
      <c r="G180" s="8"/>
    </row>
    <row r="181" spans="1:7">
      <c r="A181" s="8"/>
      <c r="G181" s="8"/>
    </row>
    <row r="182" spans="1:7">
      <c r="A182" s="8"/>
      <c r="G182" s="8"/>
    </row>
    <row r="183" spans="1:7">
      <c r="A183" s="8"/>
      <c r="G183" s="8"/>
    </row>
    <row r="184" spans="1:7">
      <c r="A184" s="8"/>
      <c r="G184" s="8"/>
    </row>
    <row r="185" spans="1:7">
      <c r="A185" s="8"/>
      <c r="G185" s="8"/>
    </row>
    <row r="186" spans="1:7">
      <c r="A186" s="8"/>
      <c r="G186" s="8"/>
    </row>
    <row r="187" spans="1:7">
      <c r="A187" s="8"/>
      <c r="G187" s="8"/>
    </row>
    <row r="188" spans="1:7">
      <c r="A188" s="8"/>
      <c r="G188" s="8"/>
    </row>
    <row r="189" spans="1:7">
      <c r="A189" s="8"/>
      <c r="G189" s="8"/>
    </row>
    <row r="190" spans="1:7">
      <c r="A190" s="8"/>
      <c r="G190" s="8"/>
    </row>
    <row r="191" spans="1:7">
      <c r="A191" s="8"/>
      <c r="G191" s="8"/>
    </row>
    <row r="192" spans="1:7">
      <c r="A192" s="8"/>
      <c r="G192" s="8"/>
    </row>
    <row r="193" spans="1:7">
      <c r="A193" s="8"/>
      <c r="G193" s="8"/>
    </row>
    <row r="194" spans="1:7">
      <c r="A194" s="8"/>
      <c r="G194" s="8"/>
    </row>
    <row r="195" spans="1:7">
      <c r="A195" s="8"/>
      <c r="G195" s="8"/>
    </row>
    <row r="196" spans="1:7">
      <c r="A196" s="8"/>
      <c r="G196" s="8"/>
    </row>
    <row r="197" spans="1:7">
      <c r="A197" s="8"/>
      <c r="G197" s="8"/>
    </row>
    <row r="198" spans="1:7">
      <c r="A198" s="8"/>
      <c r="G198" s="8"/>
    </row>
    <row r="199" spans="1:7">
      <c r="A199" s="8"/>
      <c r="G199" s="8"/>
    </row>
    <row r="200" spans="1:7">
      <c r="A200" s="8"/>
      <c r="G200" s="8"/>
    </row>
    <row r="201" spans="1:7">
      <c r="A201" s="8"/>
      <c r="G201" s="8"/>
    </row>
    <row r="202" spans="1:7">
      <c r="A202" s="8"/>
      <c r="G202" s="8"/>
    </row>
    <row r="203" spans="1:7">
      <c r="A203" s="8"/>
      <c r="G203" s="8"/>
    </row>
    <row r="204" spans="1:7">
      <c r="A204" s="8"/>
      <c r="G204" s="8"/>
    </row>
    <row r="205" spans="1:7">
      <c r="A205" s="8"/>
      <c r="G205" s="8"/>
    </row>
    <row r="206" spans="1:7">
      <c r="A206" s="8"/>
      <c r="G206" s="8"/>
    </row>
    <row r="207" spans="1:7">
      <c r="A207" s="8"/>
      <c r="G207" s="8"/>
    </row>
    <row r="208" spans="1:7">
      <c r="A208" s="8"/>
      <c r="G208" s="8"/>
    </row>
    <row r="209" spans="1:7">
      <c r="A209" s="8"/>
      <c r="G209" s="8"/>
    </row>
    <row r="210" spans="1:7">
      <c r="A210" s="8"/>
      <c r="G210" s="8"/>
    </row>
    <row r="211" spans="1:7">
      <c r="A211" s="8"/>
      <c r="G211" s="8"/>
    </row>
    <row r="212" spans="1:7">
      <c r="A212" s="8"/>
      <c r="G212" s="8"/>
    </row>
    <row r="213" spans="1:7">
      <c r="A213" s="8"/>
      <c r="G213" s="8"/>
    </row>
    <row r="214" spans="1:7">
      <c r="A214" s="8"/>
      <c r="G214" s="8"/>
    </row>
    <row r="215" spans="1:7">
      <c r="A215" s="8"/>
      <c r="G215" s="8"/>
    </row>
    <row r="216" spans="1:7">
      <c r="A216" s="8"/>
      <c r="G216" s="8"/>
    </row>
    <row r="217" spans="1:7">
      <c r="A217" s="8"/>
      <c r="G217" s="8"/>
    </row>
    <row r="218" spans="1:7">
      <c r="A218" s="8"/>
      <c r="G218" s="8"/>
    </row>
    <row r="219" spans="1:7">
      <c r="A219" s="8"/>
      <c r="G219" s="8"/>
    </row>
    <row r="220" spans="1:7">
      <c r="A220" s="8"/>
      <c r="G220" s="8"/>
    </row>
    <row r="221" spans="1:7">
      <c r="A221" s="8"/>
      <c r="G221" s="8"/>
    </row>
    <row r="222" spans="1:7">
      <c r="A222" s="8"/>
      <c r="G222" s="8"/>
    </row>
    <row r="223" spans="1:7">
      <c r="A223" s="8"/>
      <c r="G223" s="8"/>
    </row>
    <row r="224" spans="1:7">
      <c r="A224" s="8"/>
      <c r="G224" s="8"/>
    </row>
    <row r="225" spans="1:7">
      <c r="A225" s="8"/>
      <c r="G225" s="8"/>
    </row>
    <row r="226" spans="1:7">
      <c r="A226" s="8"/>
      <c r="G226" s="8"/>
    </row>
    <row r="227" spans="1:7">
      <c r="A227" s="8"/>
      <c r="G227" s="8"/>
    </row>
    <row r="228" spans="1:7">
      <c r="A228" s="8"/>
      <c r="G228" s="8"/>
    </row>
    <row r="229" spans="1:7">
      <c r="A229" s="8"/>
      <c r="G229" s="8"/>
    </row>
    <row r="230" spans="1:7">
      <c r="A230" s="8"/>
      <c r="G230" s="8"/>
    </row>
    <row r="231" spans="1:7">
      <c r="A231" s="8"/>
      <c r="G231" s="8"/>
    </row>
    <row r="232" spans="1:7">
      <c r="A232" s="8"/>
      <c r="G232" s="8"/>
    </row>
    <row r="233" spans="1:7">
      <c r="A233" s="8"/>
      <c r="G233" s="8"/>
    </row>
    <row r="234" spans="1:7">
      <c r="A234" s="8"/>
      <c r="G234" s="8"/>
    </row>
    <row r="235" spans="1:7">
      <c r="A235" s="8"/>
      <c r="G235" s="8"/>
    </row>
    <row r="236" spans="1:7">
      <c r="A236" s="8"/>
      <c r="G236" s="8"/>
    </row>
    <row r="237" spans="1:7">
      <c r="A237" s="8"/>
      <c r="G237" s="8"/>
    </row>
    <row r="238" spans="1:7">
      <c r="A238" s="8"/>
      <c r="G238" s="8"/>
    </row>
    <row r="239" spans="1:7">
      <c r="A239" s="8"/>
      <c r="G239" s="8"/>
    </row>
    <row r="240" spans="1:7">
      <c r="A240" s="8"/>
      <c r="G240" s="8"/>
    </row>
    <row r="241" spans="1:7">
      <c r="A241" s="8"/>
      <c r="G241" s="8"/>
    </row>
    <row r="242" spans="1:7">
      <c r="A242" s="8"/>
      <c r="G242" s="8"/>
    </row>
    <row r="243" spans="1:7">
      <c r="A243" s="8"/>
      <c r="G243" s="8"/>
    </row>
    <row r="244" spans="1:7">
      <c r="A244" s="8"/>
      <c r="G244" s="8"/>
    </row>
    <row r="245" spans="1:7">
      <c r="A245" s="8"/>
      <c r="G245" s="8"/>
    </row>
    <row r="246" spans="1:7">
      <c r="A246" s="8"/>
      <c r="G246" s="8"/>
    </row>
    <row r="247" spans="1:7">
      <c r="A247" s="8"/>
      <c r="G247" s="8"/>
    </row>
    <row r="248" spans="1:7">
      <c r="A248" s="8"/>
      <c r="G248" s="8"/>
    </row>
    <row r="249" spans="1:7">
      <c r="A249" s="8"/>
      <c r="G249" s="8"/>
    </row>
    <row r="250" spans="1:7">
      <c r="A250" s="8"/>
      <c r="G250" s="8"/>
    </row>
    <row r="251" spans="1:7">
      <c r="A251" s="8"/>
      <c r="G251" s="8"/>
    </row>
    <row r="252" spans="1:7">
      <c r="A252" s="8"/>
      <c r="G252" s="8"/>
    </row>
    <row r="253" spans="1:7">
      <c r="A253" s="8"/>
      <c r="G253" s="8"/>
    </row>
    <row r="254" spans="1:7">
      <c r="A254" s="8"/>
      <c r="G254" s="8"/>
    </row>
    <row r="255" spans="1:7">
      <c r="A255" s="8"/>
      <c r="G255" s="8"/>
    </row>
    <row r="256" spans="1:7">
      <c r="A256" s="8"/>
      <c r="G256" s="8"/>
    </row>
    <row r="257" spans="1:7">
      <c r="A257" s="8"/>
      <c r="G257" s="8"/>
    </row>
    <row r="258" spans="1:7">
      <c r="A258" s="8"/>
      <c r="G258" s="8"/>
    </row>
    <row r="259" spans="1:7">
      <c r="A259" s="8"/>
      <c r="G259" s="8"/>
    </row>
    <row r="260" spans="1:7">
      <c r="A260" s="8"/>
      <c r="G260" s="8"/>
    </row>
    <row r="261" spans="1:7">
      <c r="A261" s="8"/>
      <c r="G261" s="8"/>
    </row>
    <row r="262" spans="1:7">
      <c r="A262" s="8"/>
      <c r="G262" s="8"/>
    </row>
    <row r="263" spans="1:7">
      <c r="A263" s="8"/>
      <c r="G263" s="8"/>
    </row>
    <row r="264" spans="1:7">
      <c r="A264" s="8"/>
      <c r="G264" s="8"/>
    </row>
    <row r="265" spans="1:7">
      <c r="A265" s="8"/>
      <c r="G265" s="8"/>
    </row>
    <row r="266" spans="1:7">
      <c r="A266" s="8"/>
      <c r="G266" s="8"/>
    </row>
    <row r="267" spans="1:7">
      <c r="A267" s="8"/>
      <c r="G267" s="8"/>
    </row>
    <row r="268" spans="1:7">
      <c r="A268" s="8"/>
      <c r="G268" s="8"/>
    </row>
    <row r="269" spans="1:7">
      <c r="A269" s="8"/>
      <c r="G269" s="8"/>
    </row>
    <row r="270" spans="1:7">
      <c r="A270" s="8"/>
      <c r="G270" s="8"/>
    </row>
    <row r="271" spans="1:7">
      <c r="A271" s="8"/>
      <c r="G271" s="8"/>
    </row>
    <row r="272" spans="1:7">
      <c r="A272" s="8"/>
      <c r="G272" s="8"/>
    </row>
    <row r="273" spans="1:7">
      <c r="A273" s="8"/>
      <c r="G273" s="8"/>
    </row>
    <row r="274" spans="1:7">
      <c r="A274" s="8"/>
      <c r="G274" s="8"/>
    </row>
    <row r="275" spans="1:7">
      <c r="A275" s="8"/>
      <c r="G275" s="8"/>
    </row>
    <row r="276" spans="1:7">
      <c r="A276" s="8"/>
      <c r="G276" s="8"/>
    </row>
    <row r="277" spans="1:7">
      <c r="A277" s="8"/>
      <c r="G277" s="8"/>
    </row>
    <row r="278" spans="1:7">
      <c r="A278" s="8"/>
      <c r="G278" s="8"/>
    </row>
    <row r="279" spans="1:7">
      <c r="A279" s="8"/>
      <c r="G279" s="8"/>
    </row>
    <row r="280" spans="1:7">
      <c r="A280" s="8"/>
      <c r="G280" s="8"/>
    </row>
    <row r="281" spans="1:7">
      <c r="A281" s="8"/>
      <c r="G281" s="8"/>
    </row>
    <row r="282" spans="1:7">
      <c r="A282" s="8"/>
      <c r="G282" s="8"/>
    </row>
    <row r="283" spans="1:7">
      <c r="A283" s="8"/>
      <c r="G283" s="8"/>
    </row>
    <row r="284" spans="1:7">
      <c r="A284" s="8"/>
      <c r="G284" s="8"/>
    </row>
    <row r="285" spans="1:7">
      <c r="A285" s="8"/>
      <c r="G285" s="8"/>
    </row>
    <row r="286" spans="1:7">
      <c r="A286" s="8"/>
      <c r="G286" s="8"/>
    </row>
    <row r="287" spans="1:7">
      <c r="A287" s="8"/>
      <c r="G287" s="8"/>
    </row>
    <row r="288" spans="1:7">
      <c r="A288" s="8"/>
      <c r="G288" s="8"/>
    </row>
    <row r="289" spans="1:7">
      <c r="A289" s="8"/>
      <c r="G289" s="8"/>
    </row>
    <row r="290" spans="1:7">
      <c r="A290" s="8"/>
      <c r="G290" s="8"/>
    </row>
    <row r="291" spans="1:7">
      <c r="A291" s="8"/>
      <c r="G291" s="8"/>
    </row>
    <row r="292" spans="1:7">
      <c r="A292" s="8"/>
      <c r="G292" s="8"/>
    </row>
    <row r="293" spans="1:7">
      <c r="A293" s="8"/>
      <c r="G293" s="8"/>
    </row>
    <row r="294" spans="1:7">
      <c r="A294" s="8"/>
      <c r="G294" s="8"/>
    </row>
    <row r="295" spans="1:7">
      <c r="A295" s="8"/>
      <c r="G295" s="8"/>
    </row>
    <row r="296" spans="1:7">
      <c r="A296" s="8"/>
      <c r="G296" s="8"/>
    </row>
    <row r="297" spans="1:7">
      <c r="A297" s="8"/>
      <c r="G297" s="8"/>
    </row>
    <row r="298" spans="1:7">
      <c r="A298" s="8"/>
      <c r="G298" s="8"/>
    </row>
    <row r="299" spans="1:7">
      <c r="A299" s="8"/>
      <c r="G299" s="8"/>
    </row>
    <row r="300" spans="1:7">
      <c r="A300" s="8"/>
      <c r="G300" s="8"/>
    </row>
    <row r="301" spans="1:7">
      <c r="A301" s="8"/>
      <c r="G301" s="8"/>
    </row>
    <row r="302" spans="1:7">
      <c r="A302" s="8"/>
      <c r="G302" s="8"/>
    </row>
    <row r="303" spans="1:7">
      <c r="A303" s="8"/>
      <c r="G303" s="8"/>
    </row>
    <row r="304" spans="1:7">
      <c r="A304" s="8"/>
      <c r="G304" s="8"/>
    </row>
    <row r="305" spans="1:7">
      <c r="A305" s="8"/>
      <c r="G305" s="8"/>
    </row>
    <row r="306" spans="1:7">
      <c r="A306" s="8"/>
      <c r="G306" s="8"/>
    </row>
    <row r="307" spans="1:7">
      <c r="A307" s="8"/>
      <c r="G307" s="8"/>
    </row>
    <row r="308" spans="1:7">
      <c r="A308" s="8"/>
      <c r="G308" s="8"/>
    </row>
    <row r="309" spans="1:7">
      <c r="A309" s="8"/>
      <c r="G309" s="8"/>
    </row>
    <row r="310" spans="1:7">
      <c r="A310" s="8"/>
      <c r="G310" s="8"/>
    </row>
    <row r="311" spans="1:7">
      <c r="A311" s="8"/>
      <c r="G311" s="8"/>
    </row>
    <row r="312" spans="1:7">
      <c r="A312" s="8"/>
      <c r="G312" s="8"/>
    </row>
    <row r="313" spans="1:7">
      <c r="A313" s="8"/>
      <c r="G313" s="8"/>
    </row>
    <row r="314" spans="1:7">
      <c r="A314" s="8"/>
      <c r="G314" s="8"/>
    </row>
    <row r="315" spans="1:7">
      <c r="A315" s="8"/>
      <c r="G315" s="8"/>
    </row>
    <row r="316" spans="1:7">
      <c r="A316" s="8"/>
      <c r="G316" s="8"/>
    </row>
    <row r="317" spans="1:7">
      <c r="A317" s="8"/>
      <c r="G317" s="8"/>
    </row>
    <row r="318" spans="1:7">
      <c r="A318" s="8"/>
      <c r="G318" s="8"/>
    </row>
    <row r="319" spans="1:7">
      <c r="A319" s="8"/>
      <c r="G319" s="8"/>
    </row>
    <row r="320" spans="1:7">
      <c r="A320" s="8"/>
      <c r="G320" s="8"/>
    </row>
    <row r="321" spans="1:7">
      <c r="A321" s="8"/>
      <c r="G321" s="8"/>
    </row>
    <row r="322" spans="1:7">
      <c r="A322" s="8"/>
      <c r="G322" s="8"/>
    </row>
    <row r="323" spans="1:7">
      <c r="A323" s="8"/>
      <c r="G323" s="8"/>
    </row>
    <row r="324" spans="1:7">
      <c r="A324" s="8"/>
      <c r="G324" s="8"/>
    </row>
    <row r="325" spans="1:7">
      <c r="A325" s="8"/>
      <c r="G325" s="8"/>
    </row>
    <row r="326" spans="1:7">
      <c r="A326" s="8"/>
      <c r="G326" s="8"/>
    </row>
    <row r="327" spans="1:7">
      <c r="A327" s="8"/>
      <c r="G327" s="8"/>
    </row>
    <row r="328" spans="1:7">
      <c r="A328" s="8"/>
      <c r="G328" s="8"/>
    </row>
    <row r="329" spans="1:7">
      <c r="A329" s="8"/>
      <c r="G329" s="8"/>
    </row>
    <row r="330" spans="1:7">
      <c r="A330" s="8"/>
      <c r="G330" s="8"/>
    </row>
    <row r="331" spans="1:7">
      <c r="A331" s="8"/>
      <c r="G331" s="8"/>
    </row>
    <row r="332" spans="1:7">
      <c r="A332" s="8"/>
      <c r="G332" s="8"/>
    </row>
    <row r="333" spans="1:7">
      <c r="A333" s="8"/>
      <c r="G333" s="8"/>
    </row>
    <row r="334" spans="1:7">
      <c r="A334" s="8"/>
      <c r="G334" s="8"/>
    </row>
    <row r="335" spans="1:7">
      <c r="A335" s="8"/>
      <c r="G335" s="8"/>
    </row>
    <row r="336" spans="1:7">
      <c r="A336" s="8"/>
      <c r="G336" s="8"/>
    </row>
    <row r="337" spans="1:7">
      <c r="A337" s="8"/>
      <c r="G337" s="8"/>
    </row>
    <row r="338" spans="1:7">
      <c r="A338" s="8"/>
      <c r="G338" s="8"/>
    </row>
    <row r="339" spans="1:7">
      <c r="A339" s="8"/>
      <c r="G339" s="8"/>
    </row>
    <row r="340" spans="1:7">
      <c r="A340" s="8"/>
      <c r="G340" s="8"/>
    </row>
    <row r="341" spans="1:7">
      <c r="A341" s="8"/>
      <c r="G341" s="8"/>
    </row>
    <row r="342" spans="1:7">
      <c r="A342" s="8"/>
      <c r="G342" s="8"/>
    </row>
    <row r="343" spans="1:7">
      <c r="A343" s="8"/>
      <c r="G343" s="8"/>
    </row>
    <row r="344" spans="1:7">
      <c r="A344" s="8"/>
      <c r="G344" s="8"/>
    </row>
    <row r="345" spans="1:7">
      <c r="A345" s="8"/>
      <c r="G345" s="8"/>
    </row>
    <row r="346" spans="1:7">
      <c r="A346" s="8"/>
      <c r="G346" s="8"/>
    </row>
    <row r="347" spans="1:7">
      <c r="A347" s="8"/>
      <c r="G347" s="8"/>
    </row>
    <row r="348" spans="1:7">
      <c r="A348" s="8"/>
      <c r="G348" s="8"/>
    </row>
    <row r="349" spans="1:7">
      <c r="A349" s="8"/>
      <c r="G349" s="8"/>
    </row>
    <row r="350" spans="1:7">
      <c r="A350" s="8"/>
      <c r="G350" s="8"/>
    </row>
    <row r="351" spans="1:7">
      <c r="A351" s="8"/>
      <c r="G351" s="8"/>
    </row>
    <row r="352" spans="1:7">
      <c r="A352" s="8"/>
      <c r="G352" s="8"/>
    </row>
    <row r="353" spans="1:7">
      <c r="A353" s="8"/>
      <c r="G353" s="8"/>
    </row>
    <row r="354" spans="1:7">
      <c r="A354" s="8"/>
      <c r="G354" s="8"/>
    </row>
    <row r="355" spans="1:7">
      <c r="A355" s="8"/>
      <c r="G355" s="8"/>
    </row>
    <row r="356" spans="1:7">
      <c r="A356" s="8"/>
      <c r="G356" s="8"/>
    </row>
    <row r="357" spans="1:7">
      <c r="A357" s="8"/>
      <c r="G357" s="8"/>
    </row>
    <row r="358" spans="1:7">
      <c r="A358" s="8"/>
      <c r="G358" s="8"/>
    </row>
    <row r="359" spans="1:7">
      <c r="A359" s="8"/>
      <c r="G359" s="8"/>
    </row>
    <row r="360" spans="1:7">
      <c r="A360" s="8"/>
      <c r="G360" s="8"/>
    </row>
    <row r="361" spans="1:7">
      <c r="A361" s="8"/>
      <c r="G361" s="8"/>
    </row>
    <row r="362" spans="1:7">
      <c r="A362" s="8"/>
      <c r="G362" s="8"/>
    </row>
    <row r="363" spans="1:7">
      <c r="A363" s="8"/>
      <c r="G363" s="8"/>
    </row>
    <row r="364" spans="1:7">
      <c r="A364" s="8"/>
      <c r="G364" s="8"/>
    </row>
    <row r="365" spans="1:7">
      <c r="A365" s="8"/>
      <c r="G365" s="8"/>
    </row>
    <row r="366" spans="1:7">
      <c r="A366" s="8"/>
      <c r="G366" s="8"/>
    </row>
    <row r="367" spans="1:7">
      <c r="A367" s="8"/>
      <c r="G367" s="8"/>
    </row>
    <row r="368" spans="1:7">
      <c r="A368" s="8"/>
      <c r="G368" s="8"/>
    </row>
    <row r="369" spans="1:7">
      <c r="A369" s="8"/>
      <c r="G369" s="8"/>
    </row>
    <row r="370" spans="1:7">
      <c r="A370" s="8"/>
      <c r="G370" s="8"/>
    </row>
    <row r="371" spans="1:7">
      <c r="A371" s="8"/>
      <c r="G371" s="8"/>
    </row>
    <row r="372" spans="1:7">
      <c r="A372" s="8"/>
      <c r="G372" s="8"/>
    </row>
    <row r="373" spans="1:7">
      <c r="A373" s="8"/>
      <c r="G373" s="8"/>
    </row>
    <row r="374" spans="1:7">
      <c r="A374" s="8"/>
      <c r="G374" s="8"/>
    </row>
    <row r="375" spans="1:7">
      <c r="A375" s="8"/>
      <c r="G375" s="8"/>
    </row>
    <row r="376" spans="1:7">
      <c r="A376" s="8"/>
      <c r="G376" s="8"/>
    </row>
    <row r="377" spans="1:7">
      <c r="A377" s="8"/>
      <c r="G377" s="8"/>
    </row>
    <row r="378" spans="1:7">
      <c r="A378" s="8"/>
      <c r="G378" s="8"/>
    </row>
    <row r="379" spans="1:7">
      <c r="A379" s="8"/>
      <c r="G379" s="8"/>
    </row>
    <row r="380" spans="1:7">
      <c r="A380" s="8"/>
      <c r="G380" s="8"/>
    </row>
    <row r="381" spans="1:7">
      <c r="A381" s="8"/>
      <c r="G381" s="8"/>
    </row>
    <row r="382" spans="1:7">
      <c r="A382" s="8"/>
      <c r="G382" s="8"/>
    </row>
    <row r="383" spans="1:7">
      <c r="A383" s="8"/>
      <c r="G383" s="8"/>
    </row>
    <row r="384" spans="1:7">
      <c r="A384" s="8"/>
      <c r="G384" s="8"/>
    </row>
    <row r="385" spans="1:7">
      <c r="A385" s="8"/>
      <c r="G385" s="8"/>
    </row>
    <row r="386" spans="1:7">
      <c r="A386" s="8"/>
      <c r="G386" s="8"/>
    </row>
    <row r="387" spans="1:7">
      <c r="A387" s="8"/>
      <c r="G387" s="8"/>
    </row>
    <row r="388" spans="1:7">
      <c r="A388" s="8"/>
      <c r="G388" s="8"/>
    </row>
    <row r="389" spans="1:7">
      <c r="A389" s="8"/>
      <c r="G389" s="8"/>
    </row>
    <row r="390" spans="1:7">
      <c r="A390" s="8"/>
      <c r="G390" s="8"/>
    </row>
    <row r="391" spans="1:7">
      <c r="A391" s="8"/>
      <c r="G391" s="8"/>
    </row>
    <row r="392" spans="1:7">
      <c r="A392" s="8"/>
      <c r="G392" s="8"/>
    </row>
    <row r="393" spans="1:7">
      <c r="A393" s="8"/>
      <c r="G393" s="8"/>
    </row>
    <row r="394" spans="1:7">
      <c r="A394" s="8"/>
      <c r="G394" s="8"/>
    </row>
    <row r="395" spans="1:7">
      <c r="A395" s="8"/>
      <c r="G395" s="8"/>
    </row>
    <row r="396" spans="1:7">
      <c r="A396" s="8"/>
      <c r="G396" s="8"/>
    </row>
    <row r="397" spans="1:7">
      <c r="A397" s="8"/>
      <c r="G397" s="8"/>
    </row>
    <row r="398" spans="1:7">
      <c r="A398" s="8"/>
      <c r="G398" s="8"/>
    </row>
    <row r="399" spans="1:7">
      <c r="A399" s="8"/>
      <c r="G399" s="8"/>
    </row>
    <row r="400" spans="1:7">
      <c r="A400" s="8"/>
      <c r="G400" s="8"/>
    </row>
    <row r="401" spans="1:7">
      <c r="A401" s="8"/>
      <c r="G401" s="8"/>
    </row>
    <row r="402" spans="1:7">
      <c r="A402" s="8"/>
      <c r="G402" s="8"/>
    </row>
    <row r="403" spans="1:7">
      <c r="A403" s="8"/>
      <c r="G403" s="8"/>
    </row>
    <row r="404" spans="1:7">
      <c r="A404" s="8"/>
      <c r="G404" s="8"/>
    </row>
    <row r="405" spans="1:7">
      <c r="A405" s="8"/>
      <c r="G405" s="8"/>
    </row>
    <row r="406" spans="1:7">
      <c r="A406" s="8"/>
      <c r="G406" s="8"/>
    </row>
    <row r="407" spans="1:7">
      <c r="A407" s="8"/>
      <c r="G407" s="8"/>
    </row>
    <row r="408" spans="1:7">
      <c r="A408" s="8"/>
      <c r="G408" s="8"/>
    </row>
    <row r="409" spans="1:7">
      <c r="A409" s="8"/>
      <c r="G409" s="8"/>
    </row>
    <row r="410" spans="1:7">
      <c r="A410" s="8"/>
      <c r="G410" s="8"/>
    </row>
    <row r="411" spans="1:7">
      <c r="A411" s="8"/>
      <c r="G411" s="8"/>
    </row>
    <row r="412" spans="1:7">
      <c r="A412" s="8"/>
      <c r="G412" s="8"/>
    </row>
    <row r="413" spans="1:7">
      <c r="A413" s="8"/>
      <c r="G413" s="8"/>
    </row>
    <row r="414" spans="1:7">
      <c r="A414" s="8"/>
      <c r="G414" s="8"/>
    </row>
    <row r="415" spans="1:7">
      <c r="A415" s="8"/>
      <c r="G415" s="8"/>
    </row>
    <row r="416" spans="1:7">
      <c r="A416" s="8"/>
      <c r="G416" s="8"/>
    </row>
    <row r="417" spans="1:7">
      <c r="A417" s="8"/>
      <c r="G417" s="8"/>
    </row>
    <row r="418" spans="1:7">
      <c r="A418" s="8"/>
      <c r="G418" s="8"/>
    </row>
    <row r="419" spans="1:7">
      <c r="A419" s="8"/>
      <c r="G419" s="8"/>
    </row>
    <row r="420" spans="1:7">
      <c r="A420" s="8"/>
      <c r="G420" s="8"/>
    </row>
    <row r="421" spans="1:7">
      <c r="A421" s="8"/>
      <c r="G421" s="8"/>
    </row>
    <row r="422" spans="1:7">
      <c r="A422" s="8"/>
      <c r="G422" s="8"/>
    </row>
    <row r="423" spans="1:7">
      <c r="A423" s="8"/>
      <c r="G423" s="8"/>
    </row>
    <row r="424" spans="1:7">
      <c r="A424" s="8"/>
      <c r="G424" s="8"/>
    </row>
    <row r="425" spans="1:7">
      <c r="A425" s="8"/>
      <c r="G425" s="8"/>
    </row>
    <row r="426" spans="1:7">
      <c r="A426" s="8"/>
      <c r="G426" s="8"/>
    </row>
    <row r="427" spans="1:7">
      <c r="A427" s="8"/>
      <c r="G427" s="8"/>
    </row>
    <row r="428" spans="1:7">
      <c r="A428" s="8"/>
      <c r="G428" s="8"/>
    </row>
    <row r="429" spans="1:7">
      <c r="A429" s="8"/>
      <c r="G429" s="8"/>
    </row>
    <row r="430" spans="1:7">
      <c r="A430" s="8"/>
      <c r="G430" s="8"/>
    </row>
    <row r="431" spans="1:7">
      <c r="A431" s="8"/>
      <c r="G431" s="8"/>
    </row>
    <row r="432" spans="1:7">
      <c r="A432" s="8"/>
      <c r="G432" s="8"/>
    </row>
    <row r="433" spans="1:7">
      <c r="A433" s="8"/>
      <c r="G433" s="8"/>
    </row>
    <row r="434" spans="1:7">
      <c r="A434" s="8"/>
      <c r="G434" s="8"/>
    </row>
    <row r="435" spans="1:7">
      <c r="A435" s="8"/>
      <c r="G435" s="8"/>
    </row>
    <row r="436" spans="1:7">
      <c r="A436" s="8"/>
      <c r="G436" s="8"/>
    </row>
    <row r="437" spans="1:7">
      <c r="A437" s="8"/>
      <c r="G437" s="8"/>
    </row>
    <row r="438" spans="1:7">
      <c r="A438" s="8"/>
      <c r="G438" s="8"/>
    </row>
    <row r="439" spans="1:7">
      <c r="A439" s="8"/>
      <c r="G439" s="8"/>
    </row>
    <row r="440" spans="1:7">
      <c r="A440" s="8"/>
      <c r="G440" s="8"/>
    </row>
    <row r="441" spans="1:7">
      <c r="A441" s="8"/>
      <c r="G441" s="8"/>
    </row>
    <row r="442" spans="1:7">
      <c r="A442" s="8"/>
      <c r="G442" s="8"/>
    </row>
    <row r="443" spans="1:7">
      <c r="A443" s="8"/>
      <c r="G443" s="8"/>
    </row>
    <row r="444" spans="1:7">
      <c r="A444" s="8"/>
      <c r="G444" s="8"/>
    </row>
    <row r="445" spans="1:7">
      <c r="A445" s="8"/>
      <c r="G445" s="8"/>
    </row>
    <row r="446" spans="1:7">
      <c r="A446" s="8"/>
      <c r="G446" s="8"/>
    </row>
    <row r="447" spans="1:7">
      <c r="A447" s="8"/>
      <c r="G447" s="8"/>
    </row>
    <row r="448" spans="1:7">
      <c r="A448" s="8"/>
      <c r="G448" s="8"/>
    </row>
    <row r="449" spans="1:7">
      <c r="A449" s="8"/>
      <c r="G449" s="8"/>
    </row>
    <row r="450" spans="1:7">
      <c r="A450" s="8"/>
      <c r="G450" s="8"/>
    </row>
    <row r="451" spans="1:7">
      <c r="A451" s="8"/>
      <c r="G451" s="8"/>
    </row>
    <row r="452" spans="1:7">
      <c r="A452" s="8"/>
      <c r="G452" s="8"/>
    </row>
    <row r="453" spans="1:7">
      <c r="A453" s="8"/>
      <c r="G453" s="8"/>
    </row>
    <row r="454" spans="1:7">
      <c r="A454" s="8"/>
      <c r="G454" s="8"/>
    </row>
    <row r="455" spans="1:7">
      <c r="A455" s="8"/>
      <c r="G455" s="8"/>
    </row>
    <row r="456" spans="1:7">
      <c r="A456" s="8"/>
      <c r="G456" s="8"/>
    </row>
    <row r="457" spans="1:7">
      <c r="A457" s="8"/>
      <c r="G457" s="8"/>
    </row>
    <row r="458" spans="1:7">
      <c r="A458" s="8"/>
      <c r="G458" s="8"/>
    </row>
    <row r="459" spans="1:7">
      <c r="A459" s="8"/>
      <c r="G459" s="8"/>
    </row>
    <row r="460" spans="1:7">
      <c r="A460" s="8"/>
      <c r="G460" s="8"/>
    </row>
    <row r="461" spans="1:7">
      <c r="A461" s="8"/>
      <c r="G461" s="8"/>
    </row>
    <row r="462" spans="1:7">
      <c r="A462" s="8"/>
      <c r="G462" s="8"/>
    </row>
    <row r="463" spans="1:7">
      <c r="A463" s="8"/>
      <c r="G463" s="8"/>
    </row>
    <row r="464" spans="1:7">
      <c r="A464" s="8"/>
      <c r="G464" s="8"/>
    </row>
    <row r="465" spans="1:7">
      <c r="A465" s="8"/>
      <c r="G465" s="8"/>
    </row>
    <row r="466" spans="1:7">
      <c r="A466" s="8"/>
      <c r="G466" s="8"/>
    </row>
    <row r="467" spans="1:7">
      <c r="A467" s="8"/>
      <c r="G467" s="8"/>
    </row>
    <row r="468" spans="1:7">
      <c r="A468" s="8"/>
      <c r="G468" s="8"/>
    </row>
    <row r="469" spans="1:7">
      <c r="A469" s="8"/>
      <c r="G469" s="8"/>
    </row>
    <row r="470" spans="1:7">
      <c r="A470" s="8"/>
      <c r="G470" s="8"/>
    </row>
    <row r="471" spans="1:7">
      <c r="A471" s="8"/>
      <c r="G471" s="8"/>
    </row>
    <row r="472" spans="1:7">
      <c r="A472" s="8"/>
      <c r="G472" s="8"/>
    </row>
    <row r="473" spans="1:7">
      <c r="A473" s="8"/>
      <c r="G473" s="8"/>
    </row>
    <row r="474" spans="1:7">
      <c r="A474" s="8"/>
      <c r="G474" s="8"/>
    </row>
    <row r="475" spans="1:7">
      <c r="A475" s="8"/>
      <c r="G475" s="8"/>
    </row>
    <row r="476" spans="1:7">
      <c r="A476" s="8"/>
      <c r="G476" s="8"/>
    </row>
    <row r="477" spans="1:7">
      <c r="A477" s="8"/>
      <c r="G477" s="8"/>
    </row>
    <row r="478" spans="1:7">
      <c r="A478" s="8"/>
      <c r="G478" s="8"/>
    </row>
    <row r="479" spans="1:7">
      <c r="A479" s="8"/>
      <c r="G479" s="8"/>
    </row>
    <row r="480" spans="1:7">
      <c r="A480" s="8"/>
      <c r="G480" s="8"/>
    </row>
    <row r="481" spans="1:7">
      <c r="A481" s="8"/>
      <c r="G481" s="8"/>
    </row>
    <row r="482" spans="1:7">
      <c r="A482" s="8"/>
      <c r="G482" s="8"/>
    </row>
    <row r="483" spans="1:7">
      <c r="A483" s="8"/>
      <c r="G483" s="8"/>
    </row>
    <row r="484" spans="1:7">
      <c r="A484" s="8"/>
      <c r="G484" s="8"/>
    </row>
    <row r="485" spans="1:7">
      <c r="A485" s="8"/>
      <c r="G485" s="8"/>
    </row>
    <row r="486" spans="1:7">
      <c r="A486" s="8"/>
      <c r="G486" s="8"/>
    </row>
    <row r="487" spans="1:7">
      <c r="A487" s="8"/>
      <c r="G487" s="8"/>
    </row>
    <row r="488" spans="1:7">
      <c r="A488" s="8"/>
      <c r="G488" s="8"/>
    </row>
    <row r="489" spans="1:7">
      <c r="A489" s="8"/>
      <c r="G489" s="8"/>
    </row>
    <row r="490" spans="1:7">
      <c r="A490" s="8"/>
      <c r="G490" s="8"/>
    </row>
    <row r="491" spans="1:7">
      <c r="A491" s="8"/>
      <c r="G491" s="8"/>
    </row>
    <row r="492" spans="1:7">
      <c r="A492" s="8"/>
      <c r="G492" s="8"/>
    </row>
    <row r="493" spans="1:7">
      <c r="A493" s="8"/>
      <c r="G493" s="8"/>
    </row>
    <row r="494" spans="1:7">
      <c r="A494" s="8"/>
      <c r="G494" s="8"/>
    </row>
    <row r="495" spans="1:7">
      <c r="A495" s="8"/>
      <c r="G495" s="8"/>
    </row>
    <row r="496" spans="1:7">
      <c r="A496" s="8"/>
      <c r="G496" s="8"/>
    </row>
    <row r="497" spans="1:7">
      <c r="A497" s="8"/>
      <c r="G497" s="8"/>
    </row>
    <row r="498" spans="1:7">
      <c r="A498" s="8"/>
      <c r="G498" s="8"/>
    </row>
    <row r="499" spans="1:7">
      <c r="A499" s="8"/>
      <c r="G499" s="8"/>
    </row>
    <row r="500" spans="1:7">
      <c r="A500" s="8"/>
      <c r="G500" s="8"/>
    </row>
  </sheetData>
  <conditionalFormatting sqref="H2:H500">
    <cfRule type="expression" dxfId="38" priority="1">
      <formula>$H2="Cerrada"</formula>
    </cfRule>
    <cfRule type="expression" dxfId="37" priority="2">
      <formula>$H2="Vigente"</formula>
    </cfRule>
    <cfRule type="expression" dxfId="36" priority="3">
      <formula>$H2="Cumple"</formula>
    </cfRule>
    <cfRule type="expression" dxfId="35" priority="4">
      <formula>$H2="Pendiente"</formula>
    </cfRule>
    <cfRule type="expression" dxfId="34" priority="5">
      <formula>$H2="En proceso"</formula>
    </cfRule>
    <cfRule type="expression" dxfId="33" priority="6">
      <formula>$H2="Vencida"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00"/>
  <sheetViews>
    <sheetView workbookViewId="0"/>
  </sheetViews>
  <sheetFormatPr baseColWidth="10" defaultColWidth="8.6640625" defaultRowHeight="14"/>
  <cols>
    <col min="1" max="1" width="9.25" customWidth="1"/>
    <col min="2" max="2" width="21" customWidth="1"/>
    <col min="3" max="3" width="15.33203125" customWidth="1"/>
    <col min="4" max="4" width="11.75" customWidth="1"/>
    <col min="5" max="5" width="10.5" customWidth="1"/>
    <col min="6" max="6" width="9" customWidth="1"/>
    <col min="7" max="7" width="10.4140625" customWidth="1"/>
    <col min="8" max="8" width="7" customWidth="1"/>
    <col min="9" max="9" width="19.4140625" customWidth="1"/>
  </cols>
  <sheetData>
    <row r="1" spans="1:9" ht="15.15" customHeight="1">
      <c r="A1" s="5" t="s">
        <v>0</v>
      </c>
      <c r="B1" s="5" t="s">
        <v>196</v>
      </c>
      <c r="C1" s="5" t="s">
        <v>197</v>
      </c>
      <c r="D1" s="5" t="s">
        <v>1</v>
      </c>
      <c r="E1" s="5" t="s">
        <v>198</v>
      </c>
      <c r="F1" s="5" t="s">
        <v>199</v>
      </c>
      <c r="G1" s="5" t="s">
        <v>200</v>
      </c>
      <c r="H1" s="5" t="s">
        <v>9</v>
      </c>
      <c r="I1" s="5" t="s">
        <v>114</v>
      </c>
    </row>
    <row r="2" spans="1:9" ht="17.75" customHeight="1">
      <c r="A2" s="20">
        <v>46205</v>
      </c>
      <c r="B2" s="21" t="s">
        <v>162</v>
      </c>
      <c r="C2" s="21" t="s">
        <v>201</v>
      </c>
      <c r="D2" s="21" t="s">
        <v>21</v>
      </c>
      <c r="E2" s="21" t="s">
        <v>118</v>
      </c>
      <c r="F2" s="22">
        <v>12</v>
      </c>
      <c r="G2" s="20">
        <v>46570</v>
      </c>
      <c r="H2" s="21" t="s">
        <v>13</v>
      </c>
      <c r="I2" s="21" t="s">
        <v>202</v>
      </c>
    </row>
    <row r="3" spans="1:9" ht="17.75" customHeight="1">
      <c r="A3" s="20">
        <v>46208</v>
      </c>
      <c r="B3" s="21" t="s">
        <v>203</v>
      </c>
      <c r="C3" s="21" t="s">
        <v>204</v>
      </c>
      <c r="D3" s="21" t="s">
        <v>11</v>
      </c>
      <c r="E3" s="21" t="s">
        <v>143</v>
      </c>
      <c r="F3" s="22">
        <v>8</v>
      </c>
      <c r="G3" s="20">
        <v>46573</v>
      </c>
      <c r="H3" s="21" t="s">
        <v>13</v>
      </c>
      <c r="I3" s="21" t="s">
        <v>124</v>
      </c>
    </row>
    <row r="4" spans="1:9" ht="17.75" customHeight="1">
      <c r="A4" s="20">
        <v>46210</v>
      </c>
      <c r="B4" s="21" t="s">
        <v>205</v>
      </c>
      <c r="C4" s="21" t="s">
        <v>206</v>
      </c>
      <c r="D4" s="21" t="s">
        <v>14</v>
      </c>
      <c r="E4" s="21" t="s">
        <v>118</v>
      </c>
      <c r="F4" s="22">
        <v>10</v>
      </c>
      <c r="G4" s="20">
        <v>46575</v>
      </c>
      <c r="H4" s="21" t="s">
        <v>13</v>
      </c>
      <c r="I4" s="21" t="s">
        <v>207</v>
      </c>
    </row>
    <row r="5" spans="1:9" ht="17.75" customHeight="1">
      <c r="A5" s="20">
        <v>46212</v>
      </c>
      <c r="B5" s="21" t="s">
        <v>208</v>
      </c>
      <c r="C5" s="21" t="s">
        <v>209</v>
      </c>
      <c r="D5" s="21" t="s">
        <v>21</v>
      </c>
      <c r="E5" s="21" t="s">
        <v>210</v>
      </c>
      <c r="F5" s="22">
        <v>6</v>
      </c>
      <c r="G5" s="20">
        <v>46577</v>
      </c>
      <c r="H5" s="21" t="s">
        <v>13</v>
      </c>
      <c r="I5" s="21" t="s">
        <v>211</v>
      </c>
    </row>
    <row r="6" spans="1:9" ht="17.75" customHeight="1">
      <c r="A6" s="20">
        <v>46214</v>
      </c>
      <c r="B6" s="21" t="s">
        <v>212</v>
      </c>
      <c r="C6" s="21" t="s">
        <v>201</v>
      </c>
      <c r="D6" s="21" t="s">
        <v>16</v>
      </c>
      <c r="E6" s="21" t="s">
        <v>188</v>
      </c>
      <c r="F6" s="22">
        <v>9</v>
      </c>
      <c r="G6" s="20">
        <v>46579</v>
      </c>
      <c r="H6" s="21" t="s">
        <v>13</v>
      </c>
      <c r="I6" s="21" t="s">
        <v>213</v>
      </c>
    </row>
    <row r="7" spans="1:9">
      <c r="A7" s="19"/>
      <c r="B7" s="16"/>
      <c r="C7" s="16"/>
      <c r="D7" s="16"/>
      <c r="E7" s="16"/>
      <c r="F7" s="23"/>
      <c r="G7" s="19"/>
      <c r="H7" s="16"/>
      <c r="I7" s="16"/>
    </row>
    <row r="8" spans="1:9">
      <c r="A8" s="19"/>
      <c r="B8" s="16"/>
      <c r="C8" s="16"/>
      <c r="D8" s="16"/>
      <c r="E8" s="16"/>
      <c r="F8" s="23"/>
      <c r="G8" s="19"/>
      <c r="H8" s="16"/>
      <c r="I8" s="16"/>
    </row>
    <row r="9" spans="1:9">
      <c r="A9" s="19"/>
      <c r="B9" s="16"/>
      <c r="C9" s="16"/>
      <c r="D9" s="16"/>
      <c r="E9" s="16"/>
      <c r="F9" s="23"/>
      <c r="G9" s="19"/>
      <c r="H9" s="16"/>
      <c r="I9" s="16"/>
    </row>
    <row r="10" spans="1:9">
      <c r="A10" s="19"/>
      <c r="B10" s="16"/>
      <c r="C10" s="16"/>
      <c r="D10" s="16"/>
      <c r="E10" s="16"/>
      <c r="F10" s="23"/>
      <c r="G10" s="19"/>
      <c r="H10" s="16"/>
      <c r="I10" s="16"/>
    </row>
    <row r="11" spans="1:9">
      <c r="A11" s="19"/>
      <c r="B11" s="16"/>
      <c r="C11" s="16"/>
      <c r="D11" s="16"/>
      <c r="E11" s="16"/>
      <c r="F11" s="23"/>
      <c r="G11" s="19"/>
      <c r="H11" s="16"/>
      <c r="I11" s="16"/>
    </row>
    <row r="12" spans="1:9">
      <c r="A12" s="19"/>
      <c r="B12" s="16"/>
      <c r="C12" s="16"/>
      <c r="D12" s="16"/>
      <c r="E12" s="16"/>
      <c r="F12" s="23"/>
      <c r="G12" s="19"/>
      <c r="H12" s="16"/>
      <c r="I12" s="16"/>
    </row>
    <row r="13" spans="1:9">
      <c r="A13" s="19"/>
      <c r="B13" s="16"/>
      <c r="C13" s="16"/>
      <c r="D13" s="16"/>
      <c r="E13" s="16"/>
      <c r="F13" s="23"/>
      <c r="G13" s="19"/>
      <c r="H13" s="16"/>
      <c r="I13" s="16"/>
    </row>
    <row r="14" spans="1:9">
      <c r="A14" s="19"/>
      <c r="B14" s="16"/>
      <c r="C14" s="16"/>
      <c r="D14" s="16"/>
      <c r="E14" s="16"/>
      <c r="F14" s="23"/>
      <c r="G14" s="19"/>
      <c r="H14" s="16"/>
      <c r="I14" s="16"/>
    </row>
    <row r="15" spans="1:9">
      <c r="A15" s="19"/>
      <c r="B15" s="16"/>
      <c r="C15" s="16"/>
      <c r="D15" s="16"/>
      <c r="E15" s="16"/>
      <c r="F15" s="23"/>
      <c r="G15" s="19"/>
      <c r="H15" s="16"/>
      <c r="I15" s="16"/>
    </row>
    <row r="16" spans="1:9">
      <c r="A16" s="19"/>
      <c r="B16" s="16"/>
      <c r="C16" s="16"/>
      <c r="D16" s="16"/>
      <c r="E16" s="16"/>
      <c r="F16" s="23"/>
      <c r="G16" s="19"/>
      <c r="H16" s="16"/>
      <c r="I16" s="16"/>
    </row>
    <row r="17" spans="1:9">
      <c r="A17" s="19"/>
      <c r="B17" s="16"/>
      <c r="C17" s="16"/>
      <c r="D17" s="16"/>
      <c r="E17" s="16"/>
      <c r="F17" s="23"/>
      <c r="G17" s="19"/>
      <c r="H17" s="16"/>
      <c r="I17" s="16"/>
    </row>
    <row r="18" spans="1:9">
      <c r="A18" s="19"/>
      <c r="B18" s="16"/>
      <c r="C18" s="16"/>
      <c r="D18" s="16"/>
      <c r="E18" s="16"/>
      <c r="F18" s="23"/>
      <c r="G18" s="19"/>
      <c r="H18" s="16"/>
      <c r="I18" s="16"/>
    </row>
    <row r="19" spans="1:9">
      <c r="A19" s="19"/>
      <c r="B19" s="16"/>
      <c r="C19" s="16"/>
      <c r="D19" s="16"/>
      <c r="E19" s="16"/>
      <c r="F19" s="23"/>
      <c r="G19" s="19"/>
      <c r="H19" s="16"/>
      <c r="I19" s="16"/>
    </row>
    <row r="20" spans="1:9">
      <c r="A20" s="19"/>
      <c r="B20" s="16"/>
      <c r="C20" s="16"/>
      <c r="D20" s="16"/>
      <c r="E20" s="16"/>
      <c r="F20" s="23"/>
      <c r="G20" s="19"/>
      <c r="H20" s="16"/>
      <c r="I20" s="16"/>
    </row>
    <row r="21" spans="1:9">
      <c r="A21" s="19"/>
      <c r="B21" s="16"/>
      <c r="C21" s="16"/>
      <c r="D21" s="16"/>
      <c r="E21" s="16"/>
      <c r="F21" s="23"/>
      <c r="G21" s="19"/>
      <c r="H21" s="16"/>
      <c r="I21" s="16"/>
    </row>
    <row r="22" spans="1:9">
      <c r="A22" s="19"/>
      <c r="B22" s="16"/>
      <c r="C22" s="16"/>
      <c r="D22" s="16"/>
      <c r="E22" s="16"/>
      <c r="F22" s="23"/>
      <c r="G22" s="19"/>
      <c r="H22" s="16"/>
      <c r="I22" s="16"/>
    </row>
    <row r="23" spans="1:9">
      <c r="A23" s="19"/>
      <c r="B23" s="16"/>
      <c r="C23" s="16"/>
      <c r="D23" s="16"/>
      <c r="E23" s="16"/>
      <c r="F23" s="23"/>
      <c r="G23" s="19"/>
      <c r="H23" s="16"/>
      <c r="I23" s="16"/>
    </row>
    <row r="24" spans="1:9">
      <c r="A24" s="19"/>
      <c r="B24" s="16"/>
      <c r="C24" s="16"/>
      <c r="D24" s="16"/>
      <c r="E24" s="16"/>
      <c r="F24" s="23"/>
      <c r="G24" s="19"/>
      <c r="H24" s="16"/>
      <c r="I24" s="16"/>
    </row>
    <row r="25" spans="1:9">
      <c r="A25" s="19"/>
      <c r="B25" s="16"/>
      <c r="C25" s="16"/>
      <c r="D25" s="16"/>
      <c r="E25" s="16"/>
      <c r="F25" s="23"/>
      <c r="G25" s="19"/>
      <c r="H25" s="16"/>
      <c r="I25" s="16"/>
    </row>
    <row r="26" spans="1:9">
      <c r="A26" s="19"/>
      <c r="B26" s="16"/>
      <c r="C26" s="16"/>
      <c r="D26" s="16"/>
      <c r="E26" s="16"/>
      <c r="F26" s="23"/>
      <c r="G26" s="19"/>
      <c r="H26" s="16"/>
      <c r="I26" s="16"/>
    </row>
    <row r="27" spans="1:9">
      <c r="A27" s="19"/>
      <c r="B27" s="16"/>
      <c r="C27" s="16"/>
      <c r="D27" s="16"/>
      <c r="E27" s="16"/>
      <c r="F27" s="23"/>
      <c r="G27" s="19"/>
      <c r="H27" s="16"/>
      <c r="I27" s="16"/>
    </row>
    <row r="28" spans="1:9">
      <c r="A28" s="19"/>
      <c r="B28" s="16"/>
      <c r="C28" s="16"/>
      <c r="D28" s="16"/>
      <c r="E28" s="16"/>
      <c r="F28" s="23"/>
      <c r="G28" s="19"/>
      <c r="H28" s="16"/>
      <c r="I28" s="16"/>
    </row>
    <row r="29" spans="1:9">
      <c r="A29" s="19"/>
      <c r="B29" s="16"/>
      <c r="C29" s="16"/>
      <c r="D29" s="16"/>
      <c r="E29" s="16"/>
      <c r="F29" s="23"/>
      <c r="G29" s="19"/>
      <c r="H29" s="16"/>
      <c r="I29" s="16"/>
    </row>
    <row r="30" spans="1:9">
      <c r="A30" s="19"/>
      <c r="B30" s="16"/>
      <c r="C30" s="16"/>
      <c r="D30" s="16"/>
      <c r="E30" s="16"/>
      <c r="F30" s="23"/>
      <c r="G30" s="19"/>
      <c r="H30" s="16"/>
      <c r="I30" s="16"/>
    </row>
    <row r="31" spans="1:9">
      <c r="A31" s="19"/>
      <c r="B31" s="16"/>
      <c r="C31" s="16"/>
      <c r="D31" s="16"/>
      <c r="E31" s="16"/>
      <c r="F31" s="23"/>
      <c r="G31" s="19"/>
      <c r="H31" s="16"/>
      <c r="I31" s="16"/>
    </row>
    <row r="32" spans="1:9">
      <c r="A32" s="19"/>
      <c r="B32" s="16"/>
      <c r="C32" s="16"/>
      <c r="D32" s="16"/>
      <c r="E32" s="16"/>
      <c r="F32" s="23"/>
      <c r="G32" s="19"/>
      <c r="H32" s="16"/>
      <c r="I32" s="16"/>
    </row>
    <row r="33" spans="1:9">
      <c r="A33" s="19"/>
      <c r="B33" s="16"/>
      <c r="C33" s="16"/>
      <c r="D33" s="16"/>
      <c r="E33" s="16"/>
      <c r="F33" s="23"/>
      <c r="G33" s="19"/>
      <c r="H33" s="16"/>
      <c r="I33" s="16"/>
    </row>
    <row r="34" spans="1:9">
      <c r="A34" s="19"/>
      <c r="B34" s="16"/>
      <c r="C34" s="16"/>
      <c r="D34" s="16"/>
      <c r="E34" s="16"/>
      <c r="F34" s="23"/>
      <c r="G34" s="19"/>
      <c r="H34" s="16"/>
      <c r="I34" s="16"/>
    </row>
    <row r="35" spans="1:9">
      <c r="A35" s="19"/>
      <c r="B35" s="16"/>
      <c r="C35" s="16"/>
      <c r="D35" s="16"/>
      <c r="E35" s="16"/>
      <c r="F35" s="23"/>
      <c r="G35" s="19"/>
      <c r="H35" s="16"/>
      <c r="I35" s="16"/>
    </row>
    <row r="36" spans="1:9">
      <c r="A36" s="19"/>
      <c r="B36" s="16"/>
      <c r="C36" s="16"/>
      <c r="D36" s="16"/>
      <c r="E36" s="16"/>
      <c r="F36" s="23"/>
      <c r="G36" s="19"/>
      <c r="H36" s="16"/>
      <c r="I36" s="16"/>
    </row>
    <row r="37" spans="1:9">
      <c r="A37" s="19"/>
      <c r="B37" s="16"/>
      <c r="C37" s="16"/>
      <c r="D37" s="16"/>
      <c r="E37" s="16"/>
      <c r="F37" s="23"/>
      <c r="G37" s="19"/>
      <c r="H37" s="16"/>
      <c r="I37" s="16"/>
    </row>
    <row r="38" spans="1:9">
      <c r="A38" s="19"/>
      <c r="B38" s="16"/>
      <c r="C38" s="16"/>
      <c r="D38" s="16"/>
      <c r="E38" s="16"/>
      <c r="F38" s="23"/>
      <c r="G38" s="19"/>
      <c r="H38" s="16"/>
      <c r="I38" s="16"/>
    </row>
    <row r="39" spans="1:9">
      <c r="A39" s="19"/>
      <c r="B39" s="16"/>
      <c r="C39" s="16"/>
      <c r="D39" s="16"/>
      <c r="E39" s="16"/>
      <c r="F39" s="23"/>
      <c r="G39" s="19"/>
      <c r="H39" s="16"/>
      <c r="I39" s="16"/>
    </row>
    <row r="40" spans="1:9">
      <c r="A40" s="19"/>
      <c r="B40" s="16"/>
      <c r="C40" s="16"/>
      <c r="D40" s="16"/>
      <c r="E40" s="16"/>
      <c r="F40" s="23"/>
      <c r="G40" s="19"/>
      <c r="H40" s="16"/>
      <c r="I40" s="16"/>
    </row>
    <row r="41" spans="1:9">
      <c r="A41" s="19"/>
      <c r="B41" s="16"/>
      <c r="C41" s="16"/>
      <c r="D41" s="16"/>
      <c r="E41" s="16"/>
      <c r="F41" s="23"/>
      <c r="G41" s="19"/>
      <c r="H41" s="16"/>
      <c r="I41" s="16"/>
    </row>
    <row r="42" spans="1:9">
      <c r="A42" s="19"/>
      <c r="B42" s="16"/>
      <c r="C42" s="16"/>
      <c r="D42" s="16"/>
      <c r="E42" s="16"/>
      <c r="F42" s="23"/>
      <c r="G42" s="19"/>
      <c r="H42" s="16"/>
      <c r="I42" s="16"/>
    </row>
    <row r="43" spans="1:9">
      <c r="A43" s="19"/>
      <c r="B43" s="16"/>
      <c r="C43" s="16"/>
      <c r="D43" s="16"/>
      <c r="E43" s="16"/>
      <c r="F43" s="23"/>
      <c r="G43" s="19"/>
      <c r="H43" s="16"/>
      <c r="I43" s="16"/>
    </row>
    <row r="44" spans="1:9">
      <c r="A44" s="19"/>
      <c r="B44" s="16"/>
      <c r="C44" s="16"/>
      <c r="D44" s="16"/>
      <c r="E44" s="16"/>
      <c r="F44" s="23"/>
      <c r="G44" s="19"/>
      <c r="H44" s="16"/>
      <c r="I44" s="16"/>
    </row>
    <row r="45" spans="1:9">
      <c r="A45" s="19"/>
      <c r="B45" s="16"/>
      <c r="C45" s="16"/>
      <c r="D45" s="16"/>
      <c r="E45" s="16"/>
      <c r="F45" s="23"/>
      <c r="G45" s="19"/>
      <c r="H45" s="16"/>
      <c r="I45" s="16"/>
    </row>
    <row r="46" spans="1:9">
      <c r="A46" s="19"/>
      <c r="B46" s="16"/>
      <c r="C46" s="16"/>
      <c r="D46" s="16"/>
      <c r="E46" s="16"/>
      <c r="F46" s="23"/>
      <c r="G46" s="19"/>
      <c r="H46" s="16"/>
      <c r="I46" s="16"/>
    </row>
    <row r="47" spans="1:9">
      <c r="A47" s="19"/>
      <c r="B47" s="16"/>
      <c r="C47" s="16"/>
      <c r="D47" s="16"/>
      <c r="E47" s="16"/>
      <c r="F47" s="23"/>
      <c r="G47" s="19"/>
      <c r="H47" s="16"/>
      <c r="I47" s="16"/>
    </row>
    <row r="48" spans="1:9">
      <c r="A48" s="19"/>
      <c r="B48" s="16"/>
      <c r="C48" s="16"/>
      <c r="D48" s="16"/>
      <c r="E48" s="16"/>
      <c r="F48" s="23"/>
      <c r="G48" s="19"/>
      <c r="H48" s="16"/>
      <c r="I48" s="16"/>
    </row>
    <row r="49" spans="1:9">
      <c r="A49" s="19"/>
      <c r="B49" s="16"/>
      <c r="C49" s="16"/>
      <c r="D49" s="16"/>
      <c r="E49" s="16"/>
      <c r="F49" s="23"/>
      <c r="G49" s="19"/>
      <c r="H49" s="16"/>
      <c r="I49" s="16"/>
    </row>
    <row r="50" spans="1:9">
      <c r="A50" s="19"/>
      <c r="B50" s="16"/>
      <c r="C50" s="16"/>
      <c r="D50" s="16"/>
      <c r="E50" s="16"/>
      <c r="F50" s="23"/>
      <c r="G50" s="19"/>
      <c r="H50" s="16"/>
      <c r="I50" s="16"/>
    </row>
    <row r="51" spans="1:9">
      <c r="A51" s="19"/>
      <c r="B51" s="16"/>
      <c r="C51" s="16"/>
      <c r="D51" s="16"/>
      <c r="E51" s="16"/>
      <c r="F51" s="23"/>
      <c r="G51" s="19"/>
      <c r="H51" s="16"/>
      <c r="I51" s="16"/>
    </row>
    <row r="52" spans="1:9">
      <c r="A52" s="19"/>
      <c r="B52" s="16"/>
      <c r="C52" s="16"/>
      <c r="D52" s="16"/>
      <c r="E52" s="16"/>
      <c r="F52" s="23"/>
      <c r="G52" s="19"/>
      <c r="H52" s="16"/>
      <c r="I52" s="16"/>
    </row>
    <row r="53" spans="1:9">
      <c r="A53" s="19"/>
      <c r="B53" s="16"/>
      <c r="C53" s="16"/>
      <c r="D53" s="16"/>
      <c r="E53" s="16"/>
      <c r="F53" s="23"/>
      <c r="G53" s="19"/>
      <c r="H53" s="16"/>
      <c r="I53" s="16"/>
    </row>
    <row r="54" spans="1:9">
      <c r="A54" s="19"/>
      <c r="B54" s="16"/>
      <c r="C54" s="16"/>
      <c r="D54" s="16"/>
      <c r="E54" s="16"/>
      <c r="F54" s="23"/>
      <c r="G54" s="19"/>
      <c r="H54" s="16"/>
      <c r="I54" s="16"/>
    </row>
    <row r="55" spans="1:9">
      <c r="A55" s="19"/>
      <c r="B55" s="16"/>
      <c r="C55" s="16"/>
      <c r="D55" s="16"/>
      <c r="E55" s="16"/>
      <c r="F55" s="23"/>
      <c r="G55" s="19"/>
      <c r="H55" s="16"/>
      <c r="I55" s="16"/>
    </row>
    <row r="56" spans="1:9">
      <c r="A56" s="19"/>
      <c r="B56" s="16"/>
      <c r="C56" s="16"/>
      <c r="D56" s="16"/>
      <c r="E56" s="16"/>
      <c r="F56" s="23"/>
      <c r="G56" s="19"/>
      <c r="H56" s="16"/>
      <c r="I56" s="16"/>
    </row>
    <row r="57" spans="1:9">
      <c r="A57" s="19"/>
      <c r="B57" s="16"/>
      <c r="C57" s="16"/>
      <c r="D57" s="16"/>
      <c r="E57" s="16"/>
      <c r="F57" s="23"/>
      <c r="G57" s="19"/>
      <c r="H57" s="16"/>
      <c r="I57" s="16"/>
    </row>
    <row r="58" spans="1:9">
      <c r="A58" s="19"/>
      <c r="B58" s="16"/>
      <c r="C58" s="16"/>
      <c r="D58" s="16"/>
      <c r="E58" s="16"/>
      <c r="F58" s="23"/>
      <c r="G58" s="19"/>
      <c r="H58" s="16"/>
      <c r="I58" s="16"/>
    </row>
    <row r="59" spans="1:9">
      <c r="A59" s="19"/>
      <c r="B59" s="16"/>
      <c r="C59" s="16"/>
      <c r="D59" s="16"/>
      <c r="E59" s="16"/>
      <c r="F59" s="23"/>
      <c r="G59" s="19"/>
      <c r="H59" s="16"/>
      <c r="I59" s="16"/>
    </row>
    <row r="60" spans="1:9">
      <c r="A60" s="19"/>
      <c r="B60" s="16"/>
      <c r="C60" s="16"/>
      <c r="D60" s="16"/>
      <c r="E60" s="16"/>
      <c r="F60" s="23"/>
      <c r="G60" s="19"/>
      <c r="H60" s="16"/>
      <c r="I60" s="16"/>
    </row>
    <row r="61" spans="1:9">
      <c r="A61" s="19"/>
      <c r="B61" s="16"/>
      <c r="C61" s="16"/>
      <c r="D61" s="16"/>
      <c r="E61" s="16"/>
      <c r="F61" s="23"/>
      <c r="G61" s="19"/>
      <c r="H61" s="16"/>
      <c r="I61" s="16"/>
    </row>
    <row r="62" spans="1:9">
      <c r="A62" s="19"/>
      <c r="B62" s="16"/>
      <c r="C62" s="16"/>
      <c r="D62" s="16"/>
      <c r="E62" s="16"/>
      <c r="F62" s="23"/>
      <c r="G62" s="19"/>
      <c r="H62" s="16"/>
      <c r="I62" s="16"/>
    </row>
    <row r="63" spans="1:9">
      <c r="A63" s="19"/>
      <c r="B63" s="16"/>
      <c r="C63" s="16"/>
      <c r="D63" s="16"/>
      <c r="E63" s="16"/>
      <c r="F63" s="23"/>
      <c r="G63" s="19"/>
      <c r="H63" s="16"/>
      <c r="I63" s="16"/>
    </row>
    <row r="64" spans="1:9">
      <c r="A64" s="19"/>
      <c r="B64" s="16"/>
      <c r="C64" s="16"/>
      <c r="D64" s="16"/>
      <c r="E64" s="16"/>
      <c r="F64" s="23"/>
      <c r="G64" s="19"/>
      <c r="H64" s="16"/>
      <c r="I64" s="16"/>
    </row>
    <row r="65" spans="1:9">
      <c r="A65" s="19"/>
      <c r="B65" s="16"/>
      <c r="C65" s="16"/>
      <c r="D65" s="16"/>
      <c r="E65" s="16"/>
      <c r="F65" s="23"/>
      <c r="G65" s="19"/>
      <c r="H65" s="16"/>
      <c r="I65" s="16"/>
    </row>
    <row r="66" spans="1:9">
      <c r="A66" s="19"/>
      <c r="B66" s="16"/>
      <c r="C66" s="16"/>
      <c r="D66" s="16"/>
      <c r="E66" s="16"/>
      <c r="F66" s="23"/>
      <c r="G66" s="19"/>
      <c r="H66" s="16"/>
      <c r="I66" s="16"/>
    </row>
    <row r="67" spans="1:9">
      <c r="A67" s="19"/>
      <c r="B67" s="16"/>
      <c r="C67" s="16"/>
      <c r="D67" s="16"/>
      <c r="E67" s="16"/>
      <c r="F67" s="23"/>
      <c r="G67" s="19"/>
      <c r="H67" s="16"/>
      <c r="I67" s="16"/>
    </row>
    <row r="68" spans="1:9">
      <c r="A68" s="19"/>
      <c r="B68" s="16"/>
      <c r="C68" s="16"/>
      <c r="D68" s="16"/>
      <c r="E68" s="16"/>
      <c r="F68" s="23"/>
      <c r="G68" s="19"/>
      <c r="H68" s="16"/>
      <c r="I68" s="16"/>
    </row>
    <row r="69" spans="1:9">
      <c r="A69" s="19"/>
      <c r="B69" s="16"/>
      <c r="C69" s="16"/>
      <c r="D69" s="16"/>
      <c r="E69" s="16"/>
      <c r="F69" s="23"/>
      <c r="G69" s="19"/>
      <c r="H69" s="16"/>
      <c r="I69" s="16"/>
    </row>
    <row r="70" spans="1:9">
      <c r="A70" s="19"/>
      <c r="B70" s="16"/>
      <c r="C70" s="16"/>
      <c r="D70" s="16"/>
      <c r="E70" s="16"/>
      <c r="F70" s="23"/>
      <c r="G70" s="19"/>
      <c r="H70" s="16"/>
      <c r="I70" s="16"/>
    </row>
    <row r="71" spans="1:9">
      <c r="A71" s="19"/>
      <c r="B71" s="16"/>
      <c r="C71" s="16"/>
      <c r="D71" s="16"/>
      <c r="E71" s="16"/>
      <c r="F71" s="23"/>
      <c r="G71" s="19"/>
      <c r="H71" s="16"/>
      <c r="I71" s="16"/>
    </row>
    <row r="72" spans="1:9">
      <c r="A72" s="19"/>
      <c r="B72" s="16"/>
      <c r="C72" s="16"/>
      <c r="D72" s="16"/>
      <c r="E72" s="16"/>
      <c r="F72" s="23"/>
      <c r="G72" s="19"/>
      <c r="H72" s="16"/>
      <c r="I72" s="16"/>
    </row>
    <row r="73" spans="1:9">
      <c r="A73" s="19"/>
      <c r="B73" s="16"/>
      <c r="C73" s="16"/>
      <c r="D73" s="16"/>
      <c r="E73" s="16"/>
      <c r="F73" s="23"/>
      <c r="G73" s="19"/>
      <c r="H73" s="16"/>
      <c r="I73" s="16"/>
    </row>
    <row r="74" spans="1:9">
      <c r="A74" s="19"/>
      <c r="B74" s="16"/>
      <c r="C74" s="16"/>
      <c r="D74" s="16"/>
      <c r="E74" s="16"/>
      <c r="F74" s="23"/>
      <c r="G74" s="19"/>
      <c r="H74" s="16"/>
      <c r="I74" s="16"/>
    </row>
    <row r="75" spans="1:9">
      <c r="A75" s="19"/>
      <c r="B75" s="16"/>
      <c r="C75" s="16"/>
      <c r="D75" s="16"/>
      <c r="E75" s="16"/>
      <c r="F75" s="23"/>
      <c r="G75" s="19"/>
      <c r="H75" s="16"/>
      <c r="I75" s="16"/>
    </row>
    <row r="76" spans="1:9">
      <c r="A76" s="19"/>
      <c r="B76" s="16"/>
      <c r="C76" s="16"/>
      <c r="D76" s="16"/>
      <c r="E76" s="16"/>
      <c r="F76" s="23"/>
      <c r="G76" s="19"/>
      <c r="H76" s="16"/>
      <c r="I76" s="16"/>
    </row>
    <row r="77" spans="1:9">
      <c r="A77" s="19"/>
      <c r="B77" s="16"/>
      <c r="C77" s="16"/>
      <c r="D77" s="16"/>
      <c r="E77" s="16"/>
      <c r="F77" s="23"/>
      <c r="G77" s="19"/>
      <c r="H77" s="16"/>
      <c r="I77" s="16"/>
    </row>
    <row r="78" spans="1:9">
      <c r="A78" s="19"/>
      <c r="B78" s="16"/>
      <c r="C78" s="16"/>
      <c r="D78" s="16"/>
      <c r="E78" s="16"/>
      <c r="F78" s="23"/>
      <c r="G78" s="19"/>
      <c r="H78" s="16"/>
      <c r="I78" s="16"/>
    </row>
    <row r="79" spans="1:9">
      <c r="A79" s="19"/>
      <c r="B79" s="16"/>
      <c r="C79" s="16"/>
      <c r="D79" s="16"/>
      <c r="E79" s="16"/>
      <c r="F79" s="23"/>
      <c r="G79" s="19"/>
      <c r="H79" s="16"/>
      <c r="I79" s="16"/>
    </row>
    <row r="80" spans="1:9">
      <c r="A80" s="19"/>
      <c r="B80" s="16"/>
      <c r="C80" s="16"/>
      <c r="D80" s="16"/>
      <c r="E80" s="16"/>
      <c r="F80" s="23"/>
      <c r="G80" s="19"/>
      <c r="H80" s="16"/>
      <c r="I80" s="16"/>
    </row>
    <row r="81" spans="1:9">
      <c r="A81" s="19"/>
      <c r="B81" s="16"/>
      <c r="C81" s="16"/>
      <c r="D81" s="16"/>
      <c r="E81" s="16"/>
      <c r="F81" s="23"/>
      <c r="G81" s="19"/>
      <c r="H81" s="16"/>
      <c r="I81" s="16"/>
    </row>
    <row r="82" spans="1:9">
      <c r="A82" s="19"/>
      <c r="B82" s="16"/>
      <c r="C82" s="16"/>
      <c r="D82" s="16"/>
      <c r="E82" s="16"/>
      <c r="F82" s="23"/>
      <c r="G82" s="19"/>
      <c r="H82" s="16"/>
      <c r="I82" s="16"/>
    </row>
    <row r="83" spans="1:9">
      <c r="A83" s="19"/>
      <c r="B83" s="16"/>
      <c r="C83" s="16"/>
      <c r="D83" s="16"/>
      <c r="E83" s="16"/>
      <c r="F83" s="23"/>
      <c r="G83" s="19"/>
      <c r="H83" s="16"/>
      <c r="I83" s="16"/>
    </row>
    <row r="84" spans="1:9">
      <c r="A84" s="19"/>
      <c r="B84" s="16"/>
      <c r="C84" s="16"/>
      <c r="D84" s="16"/>
      <c r="E84" s="16"/>
      <c r="F84" s="23"/>
      <c r="G84" s="19"/>
      <c r="H84" s="16"/>
      <c r="I84" s="16"/>
    </row>
    <row r="85" spans="1:9">
      <c r="A85" s="19"/>
      <c r="B85" s="16"/>
      <c r="C85" s="16"/>
      <c r="D85" s="16"/>
      <c r="E85" s="16"/>
      <c r="F85" s="23"/>
      <c r="G85" s="19"/>
      <c r="H85" s="16"/>
      <c r="I85" s="16"/>
    </row>
    <row r="86" spans="1:9">
      <c r="A86" s="8"/>
      <c r="F86" s="11"/>
      <c r="G86" s="8"/>
    </row>
    <row r="87" spans="1:9">
      <c r="A87" s="8"/>
      <c r="F87" s="11"/>
      <c r="G87" s="8"/>
    </row>
    <row r="88" spans="1:9">
      <c r="A88" s="8"/>
      <c r="F88" s="11"/>
      <c r="G88" s="8"/>
    </row>
    <row r="89" spans="1:9">
      <c r="A89" s="8"/>
      <c r="F89" s="11"/>
      <c r="G89" s="8"/>
    </row>
    <row r="90" spans="1:9">
      <c r="A90" s="8"/>
      <c r="F90" s="11"/>
      <c r="G90" s="8"/>
    </row>
    <row r="91" spans="1:9">
      <c r="A91" s="8"/>
      <c r="F91" s="11"/>
      <c r="G91" s="8"/>
    </row>
    <row r="92" spans="1:9">
      <c r="A92" s="8"/>
      <c r="F92" s="11"/>
      <c r="G92" s="8"/>
    </row>
    <row r="93" spans="1:9">
      <c r="A93" s="8"/>
      <c r="F93" s="11"/>
      <c r="G93" s="8"/>
    </row>
    <row r="94" spans="1:9">
      <c r="A94" s="8"/>
      <c r="F94" s="11"/>
      <c r="G94" s="8"/>
    </row>
    <row r="95" spans="1:9">
      <c r="A95" s="8"/>
      <c r="F95" s="11"/>
      <c r="G95" s="8"/>
    </row>
    <row r="96" spans="1:9">
      <c r="A96" s="8"/>
      <c r="F96" s="11"/>
      <c r="G96" s="8"/>
    </row>
    <row r="97" spans="1:7">
      <c r="A97" s="8"/>
      <c r="F97" s="11"/>
      <c r="G97" s="8"/>
    </row>
    <row r="98" spans="1:7">
      <c r="A98" s="8"/>
      <c r="F98" s="11"/>
      <c r="G98" s="8"/>
    </row>
    <row r="99" spans="1:7">
      <c r="A99" s="8"/>
      <c r="F99" s="11"/>
      <c r="G99" s="8"/>
    </row>
    <row r="100" spans="1:7">
      <c r="A100" s="8"/>
      <c r="F100" s="11"/>
      <c r="G100" s="8"/>
    </row>
    <row r="101" spans="1:7">
      <c r="A101" s="8"/>
      <c r="F101" s="11"/>
      <c r="G101" s="8"/>
    </row>
    <row r="102" spans="1:7">
      <c r="A102" s="8"/>
      <c r="F102" s="11"/>
      <c r="G102" s="8"/>
    </row>
    <row r="103" spans="1:7">
      <c r="A103" s="8"/>
      <c r="F103" s="11"/>
      <c r="G103" s="8"/>
    </row>
    <row r="104" spans="1:7">
      <c r="A104" s="8"/>
      <c r="F104" s="11"/>
      <c r="G104" s="8"/>
    </row>
    <row r="105" spans="1:7">
      <c r="A105" s="8"/>
      <c r="F105" s="11"/>
      <c r="G105" s="8"/>
    </row>
    <row r="106" spans="1:7">
      <c r="A106" s="8"/>
      <c r="F106" s="11"/>
      <c r="G106" s="8"/>
    </row>
    <row r="107" spans="1:7">
      <c r="A107" s="8"/>
      <c r="F107" s="11"/>
      <c r="G107" s="8"/>
    </row>
    <row r="108" spans="1:7">
      <c r="A108" s="8"/>
      <c r="F108" s="11"/>
      <c r="G108" s="8"/>
    </row>
    <row r="109" spans="1:7">
      <c r="A109" s="8"/>
      <c r="F109" s="11"/>
      <c r="G109" s="8"/>
    </row>
    <row r="110" spans="1:7">
      <c r="A110" s="8"/>
      <c r="F110" s="11"/>
      <c r="G110" s="8"/>
    </row>
    <row r="111" spans="1:7">
      <c r="A111" s="8"/>
      <c r="F111" s="11"/>
      <c r="G111" s="8"/>
    </row>
    <row r="112" spans="1:7">
      <c r="A112" s="8"/>
      <c r="F112" s="11"/>
      <c r="G112" s="8"/>
    </row>
    <row r="113" spans="1:7">
      <c r="A113" s="8"/>
      <c r="F113" s="11"/>
      <c r="G113" s="8"/>
    </row>
    <row r="114" spans="1:7">
      <c r="A114" s="8"/>
      <c r="F114" s="11"/>
      <c r="G114" s="8"/>
    </row>
    <row r="115" spans="1:7">
      <c r="A115" s="8"/>
      <c r="F115" s="11"/>
      <c r="G115" s="8"/>
    </row>
    <row r="116" spans="1:7">
      <c r="A116" s="8"/>
      <c r="F116" s="11"/>
      <c r="G116" s="8"/>
    </row>
    <row r="117" spans="1:7">
      <c r="A117" s="8"/>
      <c r="F117" s="11"/>
      <c r="G117" s="8"/>
    </row>
    <row r="118" spans="1:7">
      <c r="A118" s="8"/>
      <c r="F118" s="11"/>
      <c r="G118" s="8"/>
    </row>
    <row r="119" spans="1:7">
      <c r="A119" s="8"/>
      <c r="F119" s="11"/>
      <c r="G119" s="8"/>
    </row>
    <row r="120" spans="1:7">
      <c r="A120" s="8"/>
      <c r="F120" s="11"/>
      <c r="G120" s="8"/>
    </row>
    <row r="121" spans="1:7">
      <c r="A121" s="8"/>
      <c r="F121" s="11"/>
      <c r="G121" s="8"/>
    </row>
    <row r="122" spans="1:7">
      <c r="A122" s="8"/>
      <c r="F122" s="11"/>
      <c r="G122" s="8"/>
    </row>
    <row r="123" spans="1:7">
      <c r="A123" s="8"/>
      <c r="F123" s="11"/>
      <c r="G123" s="8"/>
    </row>
    <row r="124" spans="1:7">
      <c r="A124" s="8"/>
      <c r="F124" s="11"/>
      <c r="G124" s="8"/>
    </row>
    <row r="125" spans="1:7">
      <c r="A125" s="8"/>
      <c r="F125" s="11"/>
      <c r="G125" s="8"/>
    </row>
    <row r="126" spans="1:7">
      <c r="A126" s="8"/>
      <c r="F126" s="11"/>
      <c r="G126" s="8"/>
    </row>
    <row r="127" spans="1:7">
      <c r="A127" s="8"/>
      <c r="F127" s="11"/>
      <c r="G127" s="8"/>
    </row>
    <row r="128" spans="1:7">
      <c r="A128" s="8"/>
      <c r="F128" s="11"/>
      <c r="G128" s="8"/>
    </row>
    <row r="129" spans="1:7">
      <c r="A129" s="8"/>
      <c r="F129" s="11"/>
      <c r="G129" s="8"/>
    </row>
    <row r="130" spans="1:7">
      <c r="A130" s="8"/>
      <c r="F130" s="11"/>
      <c r="G130" s="8"/>
    </row>
    <row r="131" spans="1:7">
      <c r="A131" s="8"/>
      <c r="F131" s="11"/>
      <c r="G131" s="8"/>
    </row>
    <row r="132" spans="1:7">
      <c r="A132" s="8"/>
      <c r="F132" s="11"/>
      <c r="G132" s="8"/>
    </row>
    <row r="133" spans="1:7">
      <c r="A133" s="8"/>
      <c r="F133" s="11"/>
      <c r="G133" s="8"/>
    </row>
    <row r="134" spans="1:7">
      <c r="A134" s="8"/>
      <c r="F134" s="11"/>
      <c r="G134" s="8"/>
    </row>
    <row r="135" spans="1:7">
      <c r="A135" s="8"/>
      <c r="F135" s="11"/>
      <c r="G135" s="8"/>
    </row>
    <row r="136" spans="1:7">
      <c r="A136" s="8"/>
      <c r="F136" s="11"/>
      <c r="G136" s="8"/>
    </row>
    <row r="137" spans="1:7">
      <c r="A137" s="8"/>
      <c r="F137" s="11"/>
      <c r="G137" s="8"/>
    </row>
    <row r="138" spans="1:7">
      <c r="A138" s="8"/>
      <c r="F138" s="11"/>
      <c r="G138" s="8"/>
    </row>
    <row r="139" spans="1:7">
      <c r="A139" s="8"/>
      <c r="F139" s="11"/>
      <c r="G139" s="8"/>
    </row>
    <row r="140" spans="1:7">
      <c r="A140" s="8"/>
      <c r="F140" s="11"/>
      <c r="G140" s="8"/>
    </row>
    <row r="141" spans="1:7">
      <c r="A141" s="8"/>
      <c r="F141" s="11"/>
      <c r="G141" s="8"/>
    </row>
    <row r="142" spans="1:7">
      <c r="A142" s="8"/>
      <c r="F142" s="11"/>
      <c r="G142" s="8"/>
    </row>
    <row r="143" spans="1:7">
      <c r="A143" s="8"/>
      <c r="F143" s="11"/>
      <c r="G143" s="8"/>
    </row>
    <row r="144" spans="1:7">
      <c r="A144" s="8"/>
      <c r="F144" s="11"/>
      <c r="G144" s="8"/>
    </row>
    <row r="145" spans="1:7">
      <c r="A145" s="8"/>
      <c r="F145" s="11"/>
      <c r="G145" s="8"/>
    </row>
    <row r="146" spans="1:7">
      <c r="A146" s="8"/>
      <c r="F146" s="11"/>
      <c r="G146" s="8"/>
    </row>
    <row r="147" spans="1:7">
      <c r="A147" s="8"/>
      <c r="F147" s="11"/>
      <c r="G147" s="8"/>
    </row>
    <row r="148" spans="1:7">
      <c r="A148" s="8"/>
      <c r="F148" s="11"/>
      <c r="G148" s="8"/>
    </row>
    <row r="149" spans="1:7">
      <c r="A149" s="8"/>
      <c r="F149" s="11"/>
      <c r="G149" s="8"/>
    </row>
    <row r="150" spans="1:7">
      <c r="A150" s="8"/>
      <c r="F150" s="11"/>
      <c r="G150" s="8"/>
    </row>
    <row r="151" spans="1:7">
      <c r="A151" s="8"/>
      <c r="F151" s="11"/>
      <c r="G151" s="8"/>
    </row>
    <row r="152" spans="1:7">
      <c r="A152" s="8"/>
      <c r="F152" s="11"/>
      <c r="G152" s="8"/>
    </row>
    <row r="153" spans="1:7">
      <c r="A153" s="8"/>
      <c r="F153" s="11"/>
      <c r="G153" s="8"/>
    </row>
    <row r="154" spans="1:7">
      <c r="A154" s="8"/>
      <c r="F154" s="11"/>
      <c r="G154" s="8"/>
    </row>
    <row r="155" spans="1:7">
      <c r="A155" s="8"/>
      <c r="F155" s="11"/>
      <c r="G155" s="8"/>
    </row>
    <row r="156" spans="1:7">
      <c r="A156" s="8"/>
      <c r="F156" s="11"/>
      <c r="G156" s="8"/>
    </row>
    <row r="157" spans="1:7">
      <c r="A157" s="8"/>
      <c r="F157" s="11"/>
      <c r="G157" s="8"/>
    </row>
    <row r="158" spans="1:7">
      <c r="A158" s="8"/>
      <c r="F158" s="11"/>
      <c r="G158" s="8"/>
    </row>
    <row r="159" spans="1:7">
      <c r="A159" s="8"/>
      <c r="F159" s="11"/>
      <c r="G159" s="8"/>
    </row>
    <row r="160" spans="1:7">
      <c r="A160" s="8"/>
      <c r="F160" s="11"/>
      <c r="G160" s="8"/>
    </row>
    <row r="161" spans="1:7">
      <c r="A161" s="8"/>
      <c r="F161" s="11"/>
      <c r="G161" s="8"/>
    </row>
    <row r="162" spans="1:7">
      <c r="A162" s="8"/>
      <c r="F162" s="11"/>
      <c r="G162" s="8"/>
    </row>
    <row r="163" spans="1:7">
      <c r="A163" s="8"/>
      <c r="F163" s="11"/>
      <c r="G163" s="8"/>
    </row>
    <row r="164" spans="1:7">
      <c r="A164" s="8"/>
      <c r="F164" s="11"/>
      <c r="G164" s="8"/>
    </row>
    <row r="165" spans="1:7">
      <c r="A165" s="8"/>
      <c r="F165" s="11"/>
      <c r="G165" s="8"/>
    </row>
    <row r="166" spans="1:7">
      <c r="A166" s="8"/>
      <c r="F166" s="11"/>
      <c r="G166" s="8"/>
    </row>
    <row r="167" spans="1:7">
      <c r="A167" s="8"/>
      <c r="F167" s="11"/>
      <c r="G167" s="8"/>
    </row>
    <row r="168" spans="1:7">
      <c r="A168" s="8"/>
      <c r="F168" s="11"/>
      <c r="G168" s="8"/>
    </row>
    <row r="169" spans="1:7">
      <c r="A169" s="8"/>
      <c r="F169" s="11"/>
      <c r="G169" s="8"/>
    </row>
    <row r="170" spans="1:7">
      <c r="A170" s="8"/>
      <c r="F170" s="11"/>
      <c r="G170" s="8"/>
    </row>
    <row r="171" spans="1:7">
      <c r="A171" s="8"/>
      <c r="F171" s="11"/>
      <c r="G171" s="8"/>
    </row>
    <row r="172" spans="1:7">
      <c r="A172" s="8"/>
      <c r="F172" s="11"/>
      <c r="G172" s="8"/>
    </row>
    <row r="173" spans="1:7">
      <c r="A173" s="8"/>
      <c r="F173" s="11"/>
      <c r="G173" s="8"/>
    </row>
    <row r="174" spans="1:7">
      <c r="A174" s="8"/>
      <c r="F174" s="11"/>
      <c r="G174" s="8"/>
    </row>
    <row r="175" spans="1:7">
      <c r="A175" s="8"/>
      <c r="F175" s="11"/>
      <c r="G175" s="8"/>
    </row>
    <row r="176" spans="1:7">
      <c r="A176" s="8"/>
      <c r="F176" s="11"/>
      <c r="G176" s="8"/>
    </row>
    <row r="177" spans="1:7">
      <c r="A177" s="8"/>
      <c r="F177" s="11"/>
      <c r="G177" s="8"/>
    </row>
    <row r="178" spans="1:7">
      <c r="A178" s="8"/>
      <c r="F178" s="11"/>
      <c r="G178" s="8"/>
    </row>
    <row r="179" spans="1:7">
      <c r="A179" s="8"/>
      <c r="F179" s="11"/>
      <c r="G179" s="8"/>
    </row>
    <row r="180" spans="1:7">
      <c r="A180" s="8"/>
      <c r="F180" s="11"/>
      <c r="G180" s="8"/>
    </row>
    <row r="181" spans="1:7">
      <c r="A181" s="8"/>
      <c r="F181" s="11"/>
      <c r="G181" s="8"/>
    </row>
    <row r="182" spans="1:7">
      <c r="A182" s="8"/>
      <c r="F182" s="11"/>
      <c r="G182" s="8"/>
    </row>
    <row r="183" spans="1:7">
      <c r="A183" s="8"/>
      <c r="F183" s="11"/>
      <c r="G183" s="8"/>
    </row>
    <row r="184" spans="1:7">
      <c r="A184" s="8"/>
      <c r="F184" s="11"/>
      <c r="G184" s="8"/>
    </row>
    <row r="185" spans="1:7">
      <c r="A185" s="8"/>
      <c r="F185" s="11"/>
      <c r="G185" s="8"/>
    </row>
    <row r="186" spans="1:7">
      <c r="A186" s="8"/>
      <c r="F186" s="11"/>
      <c r="G186" s="8"/>
    </row>
    <row r="187" spans="1:7">
      <c r="A187" s="8"/>
      <c r="F187" s="11"/>
      <c r="G187" s="8"/>
    </row>
    <row r="188" spans="1:7">
      <c r="A188" s="8"/>
      <c r="F188" s="11"/>
      <c r="G188" s="8"/>
    </row>
    <row r="189" spans="1:7">
      <c r="A189" s="8"/>
      <c r="F189" s="11"/>
      <c r="G189" s="8"/>
    </row>
    <row r="190" spans="1:7">
      <c r="A190" s="8"/>
      <c r="F190" s="11"/>
      <c r="G190" s="8"/>
    </row>
    <row r="191" spans="1:7">
      <c r="A191" s="8"/>
      <c r="F191" s="11"/>
      <c r="G191" s="8"/>
    </row>
    <row r="192" spans="1:7">
      <c r="A192" s="8"/>
      <c r="F192" s="11"/>
      <c r="G192" s="8"/>
    </row>
    <row r="193" spans="1:7">
      <c r="A193" s="8"/>
      <c r="F193" s="11"/>
      <c r="G193" s="8"/>
    </row>
    <row r="194" spans="1:7">
      <c r="A194" s="8"/>
      <c r="F194" s="11"/>
      <c r="G194" s="8"/>
    </row>
    <row r="195" spans="1:7">
      <c r="A195" s="8"/>
      <c r="F195" s="11"/>
      <c r="G195" s="8"/>
    </row>
    <row r="196" spans="1:7">
      <c r="A196" s="8"/>
      <c r="F196" s="11"/>
      <c r="G196" s="8"/>
    </row>
    <row r="197" spans="1:7">
      <c r="A197" s="8"/>
      <c r="F197" s="11"/>
      <c r="G197" s="8"/>
    </row>
    <row r="198" spans="1:7">
      <c r="A198" s="8"/>
      <c r="F198" s="11"/>
      <c r="G198" s="8"/>
    </row>
    <row r="199" spans="1:7">
      <c r="A199" s="8"/>
      <c r="F199" s="11"/>
      <c r="G199" s="8"/>
    </row>
    <row r="200" spans="1:7">
      <c r="A200" s="8"/>
      <c r="F200" s="11"/>
      <c r="G200" s="8"/>
    </row>
    <row r="201" spans="1:7">
      <c r="A201" s="8"/>
      <c r="F201" s="11"/>
      <c r="G201" s="8"/>
    </row>
    <row r="202" spans="1:7">
      <c r="A202" s="8"/>
      <c r="F202" s="11"/>
      <c r="G202" s="8"/>
    </row>
    <row r="203" spans="1:7">
      <c r="A203" s="8"/>
      <c r="F203" s="11"/>
      <c r="G203" s="8"/>
    </row>
    <row r="204" spans="1:7">
      <c r="A204" s="8"/>
      <c r="F204" s="11"/>
      <c r="G204" s="8"/>
    </row>
    <row r="205" spans="1:7">
      <c r="A205" s="8"/>
      <c r="F205" s="11"/>
      <c r="G205" s="8"/>
    </row>
    <row r="206" spans="1:7">
      <c r="A206" s="8"/>
      <c r="F206" s="11"/>
      <c r="G206" s="8"/>
    </row>
    <row r="207" spans="1:7">
      <c r="A207" s="8"/>
      <c r="F207" s="11"/>
      <c r="G207" s="8"/>
    </row>
    <row r="208" spans="1:7">
      <c r="A208" s="8"/>
      <c r="F208" s="11"/>
      <c r="G208" s="8"/>
    </row>
    <row r="209" spans="1:7">
      <c r="A209" s="8"/>
      <c r="F209" s="11"/>
      <c r="G209" s="8"/>
    </row>
    <row r="210" spans="1:7">
      <c r="A210" s="8"/>
      <c r="F210" s="11"/>
      <c r="G210" s="8"/>
    </row>
    <row r="211" spans="1:7">
      <c r="A211" s="8"/>
      <c r="F211" s="11"/>
      <c r="G211" s="8"/>
    </row>
    <row r="212" spans="1:7">
      <c r="A212" s="8"/>
      <c r="F212" s="11"/>
      <c r="G212" s="8"/>
    </row>
    <row r="213" spans="1:7">
      <c r="A213" s="8"/>
      <c r="F213" s="11"/>
      <c r="G213" s="8"/>
    </row>
    <row r="214" spans="1:7">
      <c r="A214" s="8"/>
      <c r="F214" s="11"/>
      <c r="G214" s="8"/>
    </row>
    <row r="215" spans="1:7">
      <c r="A215" s="8"/>
      <c r="F215" s="11"/>
      <c r="G215" s="8"/>
    </row>
    <row r="216" spans="1:7">
      <c r="A216" s="8"/>
      <c r="F216" s="11"/>
      <c r="G216" s="8"/>
    </row>
    <row r="217" spans="1:7">
      <c r="A217" s="8"/>
      <c r="F217" s="11"/>
      <c r="G217" s="8"/>
    </row>
    <row r="218" spans="1:7">
      <c r="A218" s="8"/>
      <c r="F218" s="11"/>
      <c r="G218" s="8"/>
    </row>
    <row r="219" spans="1:7">
      <c r="A219" s="8"/>
      <c r="F219" s="11"/>
      <c r="G219" s="8"/>
    </row>
    <row r="220" spans="1:7">
      <c r="A220" s="8"/>
      <c r="F220" s="11"/>
      <c r="G220" s="8"/>
    </row>
    <row r="221" spans="1:7">
      <c r="A221" s="8"/>
      <c r="F221" s="11"/>
      <c r="G221" s="8"/>
    </row>
    <row r="222" spans="1:7">
      <c r="A222" s="8"/>
      <c r="F222" s="11"/>
      <c r="G222" s="8"/>
    </row>
    <row r="223" spans="1:7">
      <c r="A223" s="8"/>
      <c r="F223" s="11"/>
      <c r="G223" s="8"/>
    </row>
    <row r="224" spans="1:7">
      <c r="A224" s="8"/>
      <c r="F224" s="11"/>
      <c r="G224" s="8"/>
    </row>
    <row r="225" spans="1:7">
      <c r="A225" s="8"/>
      <c r="F225" s="11"/>
      <c r="G225" s="8"/>
    </row>
    <row r="226" spans="1:7">
      <c r="A226" s="8"/>
      <c r="F226" s="11"/>
      <c r="G226" s="8"/>
    </row>
    <row r="227" spans="1:7">
      <c r="A227" s="8"/>
      <c r="F227" s="11"/>
      <c r="G227" s="8"/>
    </row>
    <row r="228" spans="1:7">
      <c r="A228" s="8"/>
      <c r="F228" s="11"/>
      <c r="G228" s="8"/>
    </row>
    <row r="229" spans="1:7">
      <c r="A229" s="8"/>
      <c r="F229" s="11"/>
      <c r="G229" s="8"/>
    </row>
    <row r="230" spans="1:7">
      <c r="A230" s="8"/>
      <c r="F230" s="11"/>
      <c r="G230" s="8"/>
    </row>
    <row r="231" spans="1:7">
      <c r="A231" s="8"/>
      <c r="F231" s="11"/>
      <c r="G231" s="8"/>
    </row>
    <row r="232" spans="1:7">
      <c r="A232" s="8"/>
      <c r="F232" s="11"/>
      <c r="G232" s="8"/>
    </row>
    <row r="233" spans="1:7">
      <c r="A233" s="8"/>
      <c r="F233" s="11"/>
      <c r="G233" s="8"/>
    </row>
    <row r="234" spans="1:7">
      <c r="A234" s="8"/>
      <c r="F234" s="11"/>
      <c r="G234" s="8"/>
    </row>
    <row r="235" spans="1:7">
      <c r="A235" s="8"/>
      <c r="F235" s="11"/>
      <c r="G235" s="8"/>
    </row>
    <row r="236" spans="1:7">
      <c r="A236" s="8"/>
      <c r="F236" s="11"/>
      <c r="G236" s="8"/>
    </row>
    <row r="237" spans="1:7">
      <c r="A237" s="8"/>
      <c r="F237" s="11"/>
      <c r="G237" s="8"/>
    </row>
    <row r="238" spans="1:7">
      <c r="A238" s="8"/>
      <c r="F238" s="11"/>
      <c r="G238" s="8"/>
    </row>
    <row r="239" spans="1:7">
      <c r="A239" s="8"/>
      <c r="F239" s="11"/>
      <c r="G239" s="8"/>
    </row>
    <row r="240" spans="1:7">
      <c r="A240" s="8"/>
      <c r="F240" s="11"/>
      <c r="G240" s="8"/>
    </row>
    <row r="241" spans="1:7">
      <c r="A241" s="8"/>
      <c r="F241" s="11"/>
      <c r="G241" s="8"/>
    </row>
    <row r="242" spans="1:7">
      <c r="A242" s="8"/>
      <c r="F242" s="11"/>
      <c r="G242" s="8"/>
    </row>
    <row r="243" spans="1:7">
      <c r="A243" s="8"/>
      <c r="F243" s="11"/>
      <c r="G243" s="8"/>
    </row>
    <row r="244" spans="1:7">
      <c r="A244" s="8"/>
      <c r="F244" s="11"/>
      <c r="G244" s="8"/>
    </row>
    <row r="245" spans="1:7">
      <c r="A245" s="8"/>
      <c r="F245" s="11"/>
      <c r="G245" s="8"/>
    </row>
    <row r="246" spans="1:7">
      <c r="A246" s="8"/>
      <c r="F246" s="11"/>
      <c r="G246" s="8"/>
    </row>
    <row r="247" spans="1:7">
      <c r="A247" s="8"/>
      <c r="F247" s="11"/>
      <c r="G247" s="8"/>
    </row>
    <row r="248" spans="1:7">
      <c r="A248" s="8"/>
      <c r="F248" s="11"/>
      <c r="G248" s="8"/>
    </row>
    <row r="249" spans="1:7">
      <c r="A249" s="8"/>
      <c r="F249" s="11"/>
      <c r="G249" s="8"/>
    </row>
    <row r="250" spans="1:7">
      <c r="A250" s="8"/>
      <c r="F250" s="11"/>
      <c r="G250" s="8"/>
    </row>
    <row r="251" spans="1:7">
      <c r="A251" s="8"/>
      <c r="F251" s="11"/>
      <c r="G251" s="8"/>
    </row>
    <row r="252" spans="1:7">
      <c r="A252" s="8"/>
      <c r="F252" s="11"/>
      <c r="G252" s="8"/>
    </row>
    <row r="253" spans="1:7">
      <c r="A253" s="8"/>
      <c r="F253" s="11"/>
      <c r="G253" s="8"/>
    </row>
    <row r="254" spans="1:7">
      <c r="A254" s="8"/>
      <c r="F254" s="11"/>
      <c r="G254" s="8"/>
    </row>
    <row r="255" spans="1:7">
      <c r="A255" s="8"/>
      <c r="F255" s="11"/>
      <c r="G255" s="8"/>
    </row>
    <row r="256" spans="1:7">
      <c r="A256" s="8"/>
      <c r="F256" s="11"/>
      <c r="G256" s="8"/>
    </row>
    <row r="257" spans="1:7">
      <c r="A257" s="8"/>
      <c r="F257" s="11"/>
      <c r="G257" s="8"/>
    </row>
    <row r="258" spans="1:7">
      <c r="A258" s="8"/>
      <c r="F258" s="11"/>
      <c r="G258" s="8"/>
    </row>
    <row r="259" spans="1:7">
      <c r="A259" s="8"/>
      <c r="F259" s="11"/>
      <c r="G259" s="8"/>
    </row>
    <row r="260" spans="1:7">
      <c r="A260" s="8"/>
      <c r="F260" s="11"/>
      <c r="G260" s="8"/>
    </row>
    <row r="261" spans="1:7">
      <c r="A261" s="8"/>
      <c r="F261" s="11"/>
      <c r="G261" s="8"/>
    </row>
    <row r="262" spans="1:7">
      <c r="A262" s="8"/>
      <c r="F262" s="11"/>
      <c r="G262" s="8"/>
    </row>
    <row r="263" spans="1:7">
      <c r="A263" s="8"/>
      <c r="F263" s="11"/>
      <c r="G263" s="8"/>
    </row>
    <row r="264" spans="1:7">
      <c r="A264" s="8"/>
      <c r="F264" s="11"/>
      <c r="G264" s="8"/>
    </row>
    <row r="265" spans="1:7">
      <c r="A265" s="8"/>
      <c r="F265" s="11"/>
      <c r="G265" s="8"/>
    </row>
    <row r="266" spans="1:7">
      <c r="A266" s="8"/>
      <c r="F266" s="11"/>
      <c r="G266" s="8"/>
    </row>
    <row r="267" spans="1:7">
      <c r="A267" s="8"/>
      <c r="F267" s="11"/>
      <c r="G267" s="8"/>
    </row>
    <row r="268" spans="1:7">
      <c r="A268" s="8"/>
      <c r="F268" s="11"/>
      <c r="G268" s="8"/>
    </row>
    <row r="269" spans="1:7">
      <c r="A269" s="8"/>
      <c r="F269" s="11"/>
      <c r="G269" s="8"/>
    </row>
    <row r="270" spans="1:7">
      <c r="A270" s="8"/>
      <c r="F270" s="11"/>
      <c r="G270" s="8"/>
    </row>
    <row r="271" spans="1:7">
      <c r="A271" s="8"/>
      <c r="F271" s="11"/>
      <c r="G271" s="8"/>
    </row>
    <row r="272" spans="1:7">
      <c r="A272" s="8"/>
      <c r="F272" s="11"/>
      <c r="G272" s="8"/>
    </row>
    <row r="273" spans="1:7">
      <c r="A273" s="8"/>
      <c r="F273" s="11"/>
      <c r="G273" s="8"/>
    </row>
    <row r="274" spans="1:7">
      <c r="A274" s="8"/>
      <c r="F274" s="11"/>
      <c r="G274" s="8"/>
    </row>
    <row r="275" spans="1:7">
      <c r="A275" s="8"/>
      <c r="F275" s="11"/>
      <c r="G275" s="8"/>
    </row>
    <row r="276" spans="1:7">
      <c r="A276" s="8"/>
      <c r="F276" s="11"/>
      <c r="G276" s="8"/>
    </row>
    <row r="277" spans="1:7">
      <c r="A277" s="8"/>
      <c r="F277" s="11"/>
      <c r="G277" s="8"/>
    </row>
    <row r="278" spans="1:7">
      <c r="A278" s="8"/>
      <c r="F278" s="11"/>
      <c r="G278" s="8"/>
    </row>
    <row r="279" spans="1:7">
      <c r="A279" s="8"/>
      <c r="F279" s="11"/>
      <c r="G279" s="8"/>
    </row>
    <row r="280" spans="1:7">
      <c r="A280" s="8"/>
      <c r="F280" s="11"/>
      <c r="G280" s="8"/>
    </row>
    <row r="281" spans="1:7">
      <c r="A281" s="8"/>
      <c r="F281" s="11"/>
      <c r="G281" s="8"/>
    </row>
    <row r="282" spans="1:7">
      <c r="A282" s="8"/>
      <c r="F282" s="11"/>
      <c r="G282" s="8"/>
    </row>
    <row r="283" spans="1:7">
      <c r="A283" s="8"/>
      <c r="F283" s="11"/>
      <c r="G283" s="8"/>
    </row>
    <row r="284" spans="1:7">
      <c r="A284" s="8"/>
      <c r="F284" s="11"/>
      <c r="G284" s="8"/>
    </row>
    <row r="285" spans="1:7">
      <c r="A285" s="8"/>
      <c r="F285" s="11"/>
      <c r="G285" s="8"/>
    </row>
    <row r="286" spans="1:7">
      <c r="A286" s="8"/>
      <c r="F286" s="11"/>
      <c r="G286" s="8"/>
    </row>
    <row r="287" spans="1:7">
      <c r="A287" s="8"/>
      <c r="F287" s="11"/>
      <c r="G287" s="8"/>
    </row>
    <row r="288" spans="1:7">
      <c r="A288" s="8"/>
      <c r="F288" s="11"/>
      <c r="G288" s="8"/>
    </row>
    <row r="289" spans="1:7">
      <c r="A289" s="8"/>
      <c r="F289" s="11"/>
      <c r="G289" s="8"/>
    </row>
    <row r="290" spans="1:7">
      <c r="A290" s="8"/>
      <c r="F290" s="11"/>
      <c r="G290" s="8"/>
    </row>
    <row r="291" spans="1:7">
      <c r="A291" s="8"/>
      <c r="F291" s="11"/>
      <c r="G291" s="8"/>
    </row>
    <row r="292" spans="1:7">
      <c r="A292" s="8"/>
      <c r="F292" s="11"/>
      <c r="G292" s="8"/>
    </row>
    <row r="293" spans="1:7">
      <c r="A293" s="8"/>
      <c r="F293" s="11"/>
      <c r="G293" s="8"/>
    </row>
    <row r="294" spans="1:7">
      <c r="A294" s="8"/>
      <c r="F294" s="11"/>
      <c r="G294" s="8"/>
    </row>
    <row r="295" spans="1:7">
      <c r="A295" s="8"/>
      <c r="F295" s="11"/>
      <c r="G295" s="8"/>
    </row>
    <row r="296" spans="1:7">
      <c r="A296" s="8"/>
      <c r="F296" s="11"/>
      <c r="G296" s="8"/>
    </row>
    <row r="297" spans="1:7">
      <c r="A297" s="8"/>
      <c r="F297" s="11"/>
      <c r="G297" s="8"/>
    </row>
    <row r="298" spans="1:7">
      <c r="A298" s="8"/>
      <c r="F298" s="11"/>
      <c r="G298" s="8"/>
    </row>
    <row r="299" spans="1:7">
      <c r="A299" s="8"/>
      <c r="F299" s="11"/>
      <c r="G299" s="8"/>
    </row>
    <row r="300" spans="1:7">
      <c r="A300" s="8"/>
      <c r="F300" s="11"/>
      <c r="G300" s="8"/>
    </row>
    <row r="301" spans="1:7">
      <c r="A301" s="8"/>
      <c r="F301" s="11"/>
      <c r="G301" s="8"/>
    </row>
    <row r="302" spans="1:7">
      <c r="A302" s="8"/>
      <c r="F302" s="11"/>
      <c r="G302" s="8"/>
    </row>
    <row r="303" spans="1:7">
      <c r="A303" s="8"/>
      <c r="F303" s="11"/>
      <c r="G303" s="8"/>
    </row>
    <row r="304" spans="1:7">
      <c r="A304" s="8"/>
      <c r="F304" s="11"/>
      <c r="G304" s="8"/>
    </row>
    <row r="305" spans="1:7">
      <c r="A305" s="8"/>
      <c r="F305" s="11"/>
      <c r="G305" s="8"/>
    </row>
    <row r="306" spans="1:7">
      <c r="A306" s="8"/>
      <c r="F306" s="11"/>
      <c r="G306" s="8"/>
    </row>
    <row r="307" spans="1:7">
      <c r="A307" s="8"/>
      <c r="F307" s="11"/>
      <c r="G307" s="8"/>
    </row>
    <row r="308" spans="1:7">
      <c r="A308" s="8"/>
      <c r="F308" s="11"/>
      <c r="G308" s="8"/>
    </row>
    <row r="309" spans="1:7">
      <c r="A309" s="8"/>
      <c r="F309" s="11"/>
      <c r="G309" s="8"/>
    </row>
    <row r="310" spans="1:7">
      <c r="A310" s="8"/>
      <c r="F310" s="11"/>
      <c r="G310" s="8"/>
    </row>
    <row r="311" spans="1:7">
      <c r="A311" s="8"/>
      <c r="F311" s="11"/>
      <c r="G311" s="8"/>
    </row>
    <row r="312" spans="1:7">
      <c r="A312" s="8"/>
      <c r="F312" s="11"/>
      <c r="G312" s="8"/>
    </row>
    <row r="313" spans="1:7">
      <c r="A313" s="8"/>
      <c r="F313" s="11"/>
      <c r="G313" s="8"/>
    </row>
    <row r="314" spans="1:7">
      <c r="A314" s="8"/>
      <c r="F314" s="11"/>
      <c r="G314" s="8"/>
    </row>
    <row r="315" spans="1:7">
      <c r="A315" s="8"/>
      <c r="F315" s="11"/>
      <c r="G315" s="8"/>
    </row>
    <row r="316" spans="1:7">
      <c r="A316" s="8"/>
      <c r="F316" s="11"/>
      <c r="G316" s="8"/>
    </row>
    <row r="317" spans="1:7">
      <c r="A317" s="8"/>
      <c r="F317" s="11"/>
      <c r="G317" s="8"/>
    </row>
    <row r="318" spans="1:7">
      <c r="A318" s="8"/>
      <c r="F318" s="11"/>
      <c r="G318" s="8"/>
    </row>
    <row r="319" spans="1:7">
      <c r="A319" s="8"/>
      <c r="F319" s="11"/>
      <c r="G319" s="8"/>
    </row>
    <row r="320" spans="1:7">
      <c r="A320" s="8"/>
      <c r="F320" s="11"/>
      <c r="G320" s="8"/>
    </row>
    <row r="321" spans="1:7">
      <c r="A321" s="8"/>
      <c r="F321" s="11"/>
      <c r="G321" s="8"/>
    </row>
    <row r="322" spans="1:7">
      <c r="A322" s="8"/>
      <c r="F322" s="11"/>
      <c r="G322" s="8"/>
    </row>
    <row r="323" spans="1:7">
      <c r="A323" s="8"/>
      <c r="F323" s="11"/>
      <c r="G323" s="8"/>
    </row>
    <row r="324" spans="1:7">
      <c r="A324" s="8"/>
      <c r="F324" s="11"/>
      <c r="G324" s="8"/>
    </row>
    <row r="325" spans="1:7">
      <c r="A325" s="8"/>
      <c r="F325" s="11"/>
      <c r="G325" s="8"/>
    </row>
    <row r="326" spans="1:7">
      <c r="A326" s="8"/>
      <c r="F326" s="11"/>
      <c r="G326" s="8"/>
    </row>
    <row r="327" spans="1:7">
      <c r="A327" s="8"/>
      <c r="F327" s="11"/>
      <c r="G327" s="8"/>
    </row>
    <row r="328" spans="1:7">
      <c r="A328" s="8"/>
      <c r="F328" s="11"/>
      <c r="G328" s="8"/>
    </row>
    <row r="329" spans="1:7">
      <c r="A329" s="8"/>
      <c r="F329" s="11"/>
      <c r="G329" s="8"/>
    </row>
    <row r="330" spans="1:7">
      <c r="A330" s="8"/>
      <c r="F330" s="11"/>
      <c r="G330" s="8"/>
    </row>
    <row r="331" spans="1:7">
      <c r="A331" s="8"/>
      <c r="F331" s="11"/>
      <c r="G331" s="8"/>
    </row>
    <row r="332" spans="1:7">
      <c r="A332" s="8"/>
      <c r="F332" s="11"/>
      <c r="G332" s="8"/>
    </row>
    <row r="333" spans="1:7">
      <c r="A333" s="8"/>
      <c r="F333" s="11"/>
      <c r="G333" s="8"/>
    </row>
    <row r="334" spans="1:7">
      <c r="A334" s="8"/>
      <c r="F334" s="11"/>
      <c r="G334" s="8"/>
    </row>
    <row r="335" spans="1:7">
      <c r="A335" s="8"/>
      <c r="F335" s="11"/>
      <c r="G335" s="8"/>
    </row>
    <row r="336" spans="1:7">
      <c r="A336" s="8"/>
      <c r="F336" s="11"/>
      <c r="G336" s="8"/>
    </row>
    <row r="337" spans="1:7">
      <c r="A337" s="8"/>
      <c r="F337" s="11"/>
      <c r="G337" s="8"/>
    </row>
    <row r="338" spans="1:7">
      <c r="A338" s="8"/>
      <c r="F338" s="11"/>
      <c r="G338" s="8"/>
    </row>
    <row r="339" spans="1:7">
      <c r="A339" s="8"/>
      <c r="F339" s="11"/>
      <c r="G339" s="8"/>
    </row>
    <row r="340" spans="1:7">
      <c r="A340" s="8"/>
      <c r="F340" s="11"/>
      <c r="G340" s="8"/>
    </row>
    <row r="341" spans="1:7">
      <c r="A341" s="8"/>
      <c r="F341" s="11"/>
      <c r="G341" s="8"/>
    </row>
    <row r="342" spans="1:7">
      <c r="A342" s="8"/>
      <c r="F342" s="11"/>
      <c r="G342" s="8"/>
    </row>
    <row r="343" spans="1:7">
      <c r="A343" s="8"/>
      <c r="F343" s="11"/>
      <c r="G343" s="8"/>
    </row>
    <row r="344" spans="1:7">
      <c r="A344" s="8"/>
      <c r="F344" s="11"/>
      <c r="G344" s="8"/>
    </row>
    <row r="345" spans="1:7">
      <c r="A345" s="8"/>
      <c r="F345" s="11"/>
      <c r="G345" s="8"/>
    </row>
    <row r="346" spans="1:7">
      <c r="A346" s="8"/>
      <c r="F346" s="11"/>
      <c r="G346" s="8"/>
    </row>
    <row r="347" spans="1:7">
      <c r="A347" s="8"/>
      <c r="F347" s="11"/>
      <c r="G347" s="8"/>
    </row>
    <row r="348" spans="1:7">
      <c r="A348" s="8"/>
      <c r="F348" s="11"/>
      <c r="G348" s="8"/>
    </row>
    <row r="349" spans="1:7">
      <c r="A349" s="8"/>
      <c r="F349" s="11"/>
      <c r="G349" s="8"/>
    </row>
    <row r="350" spans="1:7">
      <c r="A350" s="8"/>
      <c r="F350" s="11"/>
      <c r="G350" s="8"/>
    </row>
    <row r="351" spans="1:7">
      <c r="A351" s="8"/>
      <c r="F351" s="11"/>
      <c r="G351" s="8"/>
    </row>
    <row r="352" spans="1:7">
      <c r="A352" s="8"/>
      <c r="F352" s="11"/>
      <c r="G352" s="8"/>
    </row>
    <row r="353" spans="1:7">
      <c r="A353" s="8"/>
      <c r="F353" s="11"/>
      <c r="G353" s="8"/>
    </row>
    <row r="354" spans="1:7">
      <c r="A354" s="8"/>
      <c r="F354" s="11"/>
      <c r="G354" s="8"/>
    </row>
    <row r="355" spans="1:7">
      <c r="A355" s="8"/>
      <c r="F355" s="11"/>
      <c r="G355" s="8"/>
    </row>
    <row r="356" spans="1:7">
      <c r="A356" s="8"/>
      <c r="F356" s="11"/>
      <c r="G356" s="8"/>
    </row>
    <row r="357" spans="1:7">
      <c r="A357" s="8"/>
      <c r="F357" s="11"/>
      <c r="G357" s="8"/>
    </row>
    <row r="358" spans="1:7">
      <c r="A358" s="8"/>
      <c r="F358" s="11"/>
      <c r="G358" s="8"/>
    </row>
    <row r="359" spans="1:7">
      <c r="A359" s="8"/>
      <c r="F359" s="11"/>
      <c r="G359" s="8"/>
    </row>
    <row r="360" spans="1:7">
      <c r="A360" s="8"/>
      <c r="F360" s="11"/>
      <c r="G360" s="8"/>
    </row>
    <row r="361" spans="1:7">
      <c r="A361" s="8"/>
      <c r="F361" s="11"/>
      <c r="G361" s="8"/>
    </row>
    <row r="362" spans="1:7">
      <c r="A362" s="8"/>
      <c r="F362" s="11"/>
      <c r="G362" s="8"/>
    </row>
    <row r="363" spans="1:7">
      <c r="A363" s="8"/>
      <c r="F363" s="11"/>
      <c r="G363" s="8"/>
    </row>
    <row r="364" spans="1:7">
      <c r="A364" s="8"/>
      <c r="F364" s="11"/>
      <c r="G364" s="8"/>
    </row>
    <row r="365" spans="1:7">
      <c r="A365" s="8"/>
      <c r="F365" s="11"/>
      <c r="G365" s="8"/>
    </row>
    <row r="366" spans="1:7">
      <c r="A366" s="8"/>
      <c r="F366" s="11"/>
      <c r="G366" s="8"/>
    </row>
    <row r="367" spans="1:7">
      <c r="A367" s="8"/>
      <c r="F367" s="11"/>
      <c r="G367" s="8"/>
    </row>
    <row r="368" spans="1:7">
      <c r="A368" s="8"/>
      <c r="F368" s="11"/>
      <c r="G368" s="8"/>
    </row>
    <row r="369" spans="1:7">
      <c r="A369" s="8"/>
      <c r="F369" s="11"/>
      <c r="G369" s="8"/>
    </row>
    <row r="370" spans="1:7">
      <c r="A370" s="8"/>
      <c r="F370" s="11"/>
      <c r="G370" s="8"/>
    </row>
    <row r="371" spans="1:7">
      <c r="A371" s="8"/>
      <c r="F371" s="11"/>
      <c r="G371" s="8"/>
    </row>
    <row r="372" spans="1:7">
      <c r="A372" s="8"/>
      <c r="F372" s="11"/>
      <c r="G372" s="8"/>
    </row>
    <row r="373" spans="1:7">
      <c r="A373" s="8"/>
      <c r="F373" s="11"/>
      <c r="G373" s="8"/>
    </row>
    <row r="374" spans="1:7">
      <c r="A374" s="8"/>
      <c r="F374" s="11"/>
      <c r="G374" s="8"/>
    </row>
    <row r="375" spans="1:7">
      <c r="A375" s="8"/>
      <c r="F375" s="11"/>
      <c r="G375" s="8"/>
    </row>
    <row r="376" spans="1:7">
      <c r="A376" s="8"/>
      <c r="F376" s="11"/>
      <c r="G376" s="8"/>
    </row>
    <row r="377" spans="1:7">
      <c r="A377" s="8"/>
      <c r="F377" s="11"/>
      <c r="G377" s="8"/>
    </row>
    <row r="378" spans="1:7">
      <c r="A378" s="8"/>
      <c r="F378" s="11"/>
      <c r="G378" s="8"/>
    </row>
    <row r="379" spans="1:7">
      <c r="A379" s="8"/>
      <c r="F379" s="11"/>
      <c r="G379" s="8"/>
    </row>
    <row r="380" spans="1:7">
      <c r="A380" s="8"/>
      <c r="F380" s="11"/>
      <c r="G380" s="8"/>
    </row>
    <row r="381" spans="1:7">
      <c r="A381" s="8"/>
      <c r="F381" s="11"/>
      <c r="G381" s="8"/>
    </row>
    <row r="382" spans="1:7">
      <c r="A382" s="8"/>
      <c r="F382" s="11"/>
      <c r="G382" s="8"/>
    </row>
    <row r="383" spans="1:7">
      <c r="A383" s="8"/>
      <c r="F383" s="11"/>
      <c r="G383" s="8"/>
    </row>
    <row r="384" spans="1:7">
      <c r="A384" s="8"/>
      <c r="F384" s="11"/>
      <c r="G384" s="8"/>
    </row>
    <row r="385" spans="1:7">
      <c r="A385" s="8"/>
      <c r="F385" s="11"/>
      <c r="G385" s="8"/>
    </row>
    <row r="386" spans="1:7">
      <c r="A386" s="8"/>
      <c r="F386" s="11"/>
      <c r="G386" s="8"/>
    </row>
    <row r="387" spans="1:7">
      <c r="A387" s="8"/>
      <c r="F387" s="11"/>
      <c r="G387" s="8"/>
    </row>
    <row r="388" spans="1:7">
      <c r="A388" s="8"/>
      <c r="F388" s="11"/>
      <c r="G388" s="8"/>
    </row>
    <row r="389" spans="1:7">
      <c r="A389" s="8"/>
      <c r="F389" s="11"/>
      <c r="G389" s="8"/>
    </row>
    <row r="390" spans="1:7">
      <c r="A390" s="8"/>
      <c r="F390" s="11"/>
      <c r="G390" s="8"/>
    </row>
    <row r="391" spans="1:7">
      <c r="A391" s="8"/>
      <c r="F391" s="11"/>
      <c r="G391" s="8"/>
    </row>
    <row r="392" spans="1:7">
      <c r="A392" s="8"/>
      <c r="F392" s="11"/>
      <c r="G392" s="8"/>
    </row>
    <row r="393" spans="1:7">
      <c r="A393" s="8"/>
      <c r="F393" s="11"/>
      <c r="G393" s="8"/>
    </row>
    <row r="394" spans="1:7">
      <c r="A394" s="8"/>
      <c r="F394" s="11"/>
      <c r="G394" s="8"/>
    </row>
    <row r="395" spans="1:7">
      <c r="A395" s="8"/>
      <c r="F395" s="11"/>
      <c r="G395" s="8"/>
    </row>
    <row r="396" spans="1:7">
      <c r="A396" s="8"/>
      <c r="F396" s="11"/>
      <c r="G396" s="8"/>
    </row>
    <row r="397" spans="1:7">
      <c r="A397" s="8"/>
      <c r="F397" s="11"/>
      <c r="G397" s="8"/>
    </row>
    <row r="398" spans="1:7">
      <c r="A398" s="8"/>
      <c r="F398" s="11"/>
      <c r="G398" s="8"/>
    </row>
    <row r="399" spans="1:7">
      <c r="A399" s="8"/>
      <c r="F399" s="11"/>
      <c r="G399" s="8"/>
    </row>
    <row r="400" spans="1:7">
      <c r="A400" s="8"/>
      <c r="F400" s="11"/>
      <c r="G400" s="8"/>
    </row>
    <row r="401" spans="1:7">
      <c r="A401" s="8"/>
      <c r="F401" s="11"/>
      <c r="G401" s="8"/>
    </row>
    <row r="402" spans="1:7">
      <c r="A402" s="8"/>
      <c r="F402" s="11"/>
      <c r="G402" s="8"/>
    </row>
    <row r="403" spans="1:7">
      <c r="A403" s="8"/>
      <c r="F403" s="11"/>
      <c r="G403" s="8"/>
    </row>
    <row r="404" spans="1:7">
      <c r="A404" s="8"/>
      <c r="F404" s="11"/>
      <c r="G404" s="8"/>
    </row>
    <row r="405" spans="1:7">
      <c r="A405" s="8"/>
      <c r="F405" s="11"/>
      <c r="G405" s="8"/>
    </row>
    <row r="406" spans="1:7">
      <c r="A406" s="8"/>
      <c r="F406" s="11"/>
      <c r="G406" s="8"/>
    </row>
    <row r="407" spans="1:7">
      <c r="A407" s="8"/>
      <c r="F407" s="11"/>
      <c r="G407" s="8"/>
    </row>
    <row r="408" spans="1:7">
      <c r="A408" s="8"/>
      <c r="F408" s="11"/>
      <c r="G408" s="8"/>
    </row>
    <row r="409" spans="1:7">
      <c r="A409" s="8"/>
      <c r="F409" s="11"/>
      <c r="G409" s="8"/>
    </row>
    <row r="410" spans="1:7">
      <c r="A410" s="8"/>
      <c r="F410" s="11"/>
      <c r="G410" s="8"/>
    </row>
    <row r="411" spans="1:7">
      <c r="A411" s="8"/>
      <c r="F411" s="11"/>
      <c r="G411" s="8"/>
    </row>
    <row r="412" spans="1:7">
      <c r="A412" s="8"/>
      <c r="F412" s="11"/>
      <c r="G412" s="8"/>
    </row>
    <row r="413" spans="1:7">
      <c r="A413" s="8"/>
      <c r="F413" s="11"/>
      <c r="G413" s="8"/>
    </row>
    <row r="414" spans="1:7">
      <c r="A414" s="8"/>
      <c r="F414" s="11"/>
      <c r="G414" s="8"/>
    </row>
    <row r="415" spans="1:7">
      <c r="A415" s="8"/>
      <c r="F415" s="11"/>
      <c r="G415" s="8"/>
    </row>
    <row r="416" spans="1:7">
      <c r="A416" s="8"/>
      <c r="F416" s="11"/>
      <c r="G416" s="8"/>
    </row>
    <row r="417" spans="1:7">
      <c r="A417" s="8"/>
      <c r="F417" s="11"/>
      <c r="G417" s="8"/>
    </row>
    <row r="418" spans="1:7">
      <c r="A418" s="8"/>
      <c r="F418" s="11"/>
      <c r="G418" s="8"/>
    </row>
    <row r="419" spans="1:7">
      <c r="A419" s="8"/>
      <c r="F419" s="11"/>
      <c r="G419" s="8"/>
    </row>
    <row r="420" spans="1:7">
      <c r="A420" s="8"/>
      <c r="F420" s="11"/>
      <c r="G420" s="8"/>
    </row>
    <row r="421" spans="1:7">
      <c r="A421" s="8"/>
      <c r="F421" s="11"/>
      <c r="G421" s="8"/>
    </row>
    <row r="422" spans="1:7">
      <c r="A422" s="8"/>
      <c r="F422" s="11"/>
      <c r="G422" s="8"/>
    </row>
    <row r="423" spans="1:7">
      <c r="A423" s="8"/>
      <c r="F423" s="11"/>
      <c r="G423" s="8"/>
    </row>
    <row r="424" spans="1:7">
      <c r="A424" s="8"/>
      <c r="F424" s="11"/>
      <c r="G424" s="8"/>
    </row>
    <row r="425" spans="1:7">
      <c r="A425" s="8"/>
      <c r="F425" s="11"/>
      <c r="G425" s="8"/>
    </row>
    <row r="426" spans="1:7">
      <c r="A426" s="8"/>
      <c r="F426" s="11"/>
      <c r="G426" s="8"/>
    </row>
    <row r="427" spans="1:7">
      <c r="A427" s="8"/>
      <c r="F427" s="11"/>
      <c r="G427" s="8"/>
    </row>
    <row r="428" spans="1:7">
      <c r="A428" s="8"/>
      <c r="F428" s="11"/>
      <c r="G428" s="8"/>
    </row>
    <row r="429" spans="1:7">
      <c r="A429" s="8"/>
      <c r="F429" s="11"/>
      <c r="G429" s="8"/>
    </row>
    <row r="430" spans="1:7">
      <c r="A430" s="8"/>
      <c r="F430" s="11"/>
      <c r="G430" s="8"/>
    </row>
    <row r="431" spans="1:7">
      <c r="A431" s="8"/>
      <c r="F431" s="11"/>
      <c r="G431" s="8"/>
    </row>
    <row r="432" spans="1:7">
      <c r="A432" s="8"/>
      <c r="F432" s="11"/>
      <c r="G432" s="8"/>
    </row>
    <row r="433" spans="1:7">
      <c r="A433" s="8"/>
      <c r="F433" s="11"/>
      <c r="G433" s="8"/>
    </row>
    <row r="434" spans="1:7">
      <c r="A434" s="8"/>
      <c r="F434" s="11"/>
      <c r="G434" s="8"/>
    </row>
    <row r="435" spans="1:7">
      <c r="A435" s="8"/>
      <c r="F435" s="11"/>
      <c r="G435" s="8"/>
    </row>
    <row r="436" spans="1:7">
      <c r="A436" s="8"/>
      <c r="F436" s="11"/>
      <c r="G436" s="8"/>
    </row>
    <row r="437" spans="1:7">
      <c r="A437" s="8"/>
      <c r="F437" s="11"/>
      <c r="G437" s="8"/>
    </row>
    <row r="438" spans="1:7">
      <c r="A438" s="8"/>
      <c r="F438" s="11"/>
      <c r="G438" s="8"/>
    </row>
    <row r="439" spans="1:7">
      <c r="A439" s="8"/>
      <c r="F439" s="11"/>
      <c r="G439" s="8"/>
    </row>
    <row r="440" spans="1:7">
      <c r="A440" s="8"/>
      <c r="F440" s="11"/>
      <c r="G440" s="8"/>
    </row>
    <row r="441" spans="1:7">
      <c r="A441" s="8"/>
      <c r="F441" s="11"/>
      <c r="G441" s="8"/>
    </row>
    <row r="442" spans="1:7">
      <c r="A442" s="8"/>
      <c r="F442" s="11"/>
      <c r="G442" s="8"/>
    </row>
    <row r="443" spans="1:7">
      <c r="A443" s="8"/>
      <c r="F443" s="11"/>
      <c r="G443" s="8"/>
    </row>
    <row r="444" spans="1:7">
      <c r="A444" s="8"/>
      <c r="F444" s="11"/>
      <c r="G444" s="8"/>
    </row>
    <row r="445" spans="1:7">
      <c r="A445" s="8"/>
      <c r="F445" s="11"/>
      <c r="G445" s="8"/>
    </row>
    <row r="446" spans="1:7">
      <c r="A446" s="8"/>
      <c r="F446" s="11"/>
      <c r="G446" s="8"/>
    </row>
    <row r="447" spans="1:7">
      <c r="A447" s="8"/>
      <c r="F447" s="11"/>
      <c r="G447" s="8"/>
    </row>
    <row r="448" spans="1:7">
      <c r="A448" s="8"/>
      <c r="F448" s="11"/>
      <c r="G448" s="8"/>
    </row>
    <row r="449" spans="1:7">
      <c r="A449" s="8"/>
      <c r="F449" s="11"/>
      <c r="G449" s="8"/>
    </row>
    <row r="450" spans="1:7">
      <c r="A450" s="8"/>
      <c r="F450" s="11"/>
      <c r="G450" s="8"/>
    </row>
    <row r="451" spans="1:7">
      <c r="A451" s="8"/>
      <c r="F451" s="11"/>
      <c r="G451" s="8"/>
    </row>
    <row r="452" spans="1:7">
      <c r="A452" s="8"/>
      <c r="F452" s="11"/>
      <c r="G452" s="8"/>
    </row>
    <row r="453" spans="1:7">
      <c r="A453" s="8"/>
      <c r="F453" s="11"/>
      <c r="G453" s="8"/>
    </row>
    <row r="454" spans="1:7">
      <c r="A454" s="8"/>
      <c r="F454" s="11"/>
      <c r="G454" s="8"/>
    </row>
    <row r="455" spans="1:7">
      <c r="A455" s="8"/>
      <c r="F455" s="11"/>
      <c r="G455" s="8"/>
    </row>
    <row r="456" spans="1:7">
      <c r="A456" s="8"/>
      <c r="F456" s="11"/>
      <c r="G456" s="8"/>
    </row>
    <row r="457" spans="1:7">
      <c r="A457" s="8"/>
      <c r="F457" s="11"/>
      <c r="G457" s="8"/>
    </row>
    <row r="458" spans="1:7">
      <c r="A458" s="8"/>
      <c r="F458" s="11"/>
      <c r="G458" s="8"/>
    </row>
    <row r="459" spans="1:7">
      <c r="A459" s="8"/>
      <c r="F459" s="11"/>
      <c r="G459" s="8"/>
    </row>
    <row r="460" spans="1:7">
      <c r="A460" s="8"/>
      <c r="F460" s="11"/>
      <c r="G460" s="8"/>
    </row>
    <row r="461" spans="1:7">
      <c r="A461" s="8"/>
      <c r="F461" s="11"/>
      <c r="G461" s="8"/>
    </row>
    <row r="462" spans="1:7">
      <c r="A462" s="8"/>
      <c r="F462" s="11"/>
      <c r="G462" s="8"/>
    </row>
    <row r="463" spans="1:7">
      <c r="A463" s="8"/>
      <c r="F463" s="11"/>
      <c r="G463" s="8"/>
    </row>
    <row r="464" spans="1:7">
      <c r="A464" s="8"/>
      <c r="F464" s="11"/>
      <c r="G464" s="8"/>
    </row>
    <row r="465" spans="1:7">
      <c r="A465" s="8"/>
      <c r="F465" s="11"/>
      <c r="G465" s="8"/>
    </row>
    <row r="466" spans="1:7">
      <c r="A466" s="8"/>
      <c r="F466" s="11"/>
      <c r="G466" s="8"/>
    </row>
    <row r="467" spans="1:7">
      <c r="A467" s="8"/>
      <c r="F467" s="11"/>
      <c r="G467" s="8"/>
    </row>
    <row r="468" spans="1:7">
      <c r="A468" s="8"/>
      <c r="F468" s="11"/>
      <c r="G468" s="8"/>
    </row>
    <row r="469" spans="1:7">
      <c r="A469" s="8"/>
      <c r="F469" s="11"/>
      <c r="G469" s="8"/>
    </row>
    <row r="470" spans="1:7">
      <c r="A470" s="8"/>
      <c r="F470" s="11"/>
      <c r="G470" s="8"/>
    </row>
    <row r="471" spans="1:7">
      <c r="A471" s="8"/>
      <c r="F471" s="11"/>
      <c r="G471" s="8"/>
    </row>
    <row r="472" spans="1:7">
      <c r="A472" s="8"/>
      <c r="F472" s="11"/>
      <c r="G472" s="8"/>
    </row>
    <row r="473" spans="1:7">
      <c r="A473" s="8"/>
      <c r="F473" s="11"/>
      <c r="G473" s="8"/>
    </row>
    <row r="474" spans="1:7">
      <c r="A474" s="8"/>
      <c r="F474" s="11"/>
      <c r="G474" s="8"/>
    </row>
    <row r="475" spans="1:7">
      <c r="A475" s="8"/>
      <c r="F475" s="11"/>
      <c r="G475" s="8"/>
    </row>
    <row r="476" spans="1:7">
      <c r="A476" s="8"/>
      <c r="F476" s="11"/>
      <c r="G476" s="8"/>
    </row>
    <row r="477" spans="1:7">
      <c r="A477" s="8"/>
      <c r="F477" s="11"/>
      <c r="G477" s="8"/>
    </row>
    <row r="478" spans="1:7">
      <c r="A478" s="8"/>
      <c r="F478" s="11"/>
      <c r="G478" s="8"/>
    </row>
    <row r="479" spans="1:7">
      <c r="A479" s="8"/>
      <c r="F479" s="11"/>
      <c r="G479" s="8"/>
    </row>
    <row r="480" spans="1:7">
      <c r="A480" s="8"/>
      <c r="F480" s="11"/>
      <c r="G480" s="8"/>
    </row>
    <row r="481" spans="1:7">
      <c r="A481" s="8"/>
      <c r="F481" s="11"/>
      <c r="G481" s="8"/>
    </row>
    <row r="482" spans="1:7">
      <c r="A482" s="8"/>
      <c r="F482" s="11"/>
      <c r="G482" s="8"/>
    </row>
    <row r="483" spans="1:7">
      <c r="A483" s="8"/>
      <c r="F483" s="11"/>
      <c r="G483" s="8"/>
    </row>
    <row r="484" spans="1:7">
      <c r="A484" s="8"/>
      <c r="F484" s="11"/>
      <c r="G484" s="8"/>
    </row>
    <row r="485" spans="1:7">
      <c r="A485" s="8"/>
      <c r="F485" s="11"/>
      <c r="G485" s="8"/>
    </row>
    <row r="486" spans="1:7">
      <c r="A486" s="8"/>
      <c r="F486" s="11"/>
      <c r="G486" s="8"/>
    </row>
    <row r="487" spans="1:7">
      <c r="A487" s="8"/>
      <c r="F487" s="11"/>
      <c r="G487" s="8"/>
    </row>
    <row r="488" spans="1:7">
      <c r="A488" s="8"/>
      <c r="F488" s="11"/>
      <c r="G488" s="8"/>
    </row>
    <row r="489" spans="1:7">
      <c r="A489" s="8"/>
      <c r="F489" s="11"/>
      <c r="G489" s="8"/>
    </row>
    <row r="490" spans="1:7">
      <c r="A490" s="8"/>
      <c r="F490" s="11"/>
      <c r="G490" s="8"/>
    </row>
    <row r="491" spans="1:7">
      <c r="A491" s="8"/>
      <c r="F491" s="11"/>
      <c r="G491" s="8"/>
    </row>
    <row r="492" spans="1:7">
      <c r="A492" s="8"/>
      <c r="F492" s="11"/>
      <c r="G492" s="8"/>
    </row>
    <row r="493" spans="1:7">
      <c r="A493" s="8"/>
      <c r="F493" s="11"/>
      <c r="G493" s="8"/>
    </row>
    <row r="494" spans="1:7">
      <c r="A494" s="8"/>
      <c r="F494" s="11"/>
      <c r="G494" s="8"/>
    </row>
    <row r="495" spans="1:7">
      <c r="A495" s="8"/>
      <c r="F495" s="11"/>
      <c r="G495" s="8"/>
    </row>
    <row r="496" spans="1:7">
      <c r="A496" s="8"/>
      <c r="F496" s="11"/>
      <c r="G496" s="8"/>
    </row>
    <row r="497" spans="1:7">
      <c r="A497" s="8"/>
      <c r="F497" s="11"/>
      <c r="G497" s="8"/>
    </row>
    <row r="498" spans="1:7">
      <c r="A498" s="8"/>
      <c r="F498" s="11"/>
      <c r="G498" s="8"/>
    </row>
    <row r="499" spans="1:7">
      <c r="A499" s="8"/>
      <c r="F499" s="11"/>
      <c r="G499" s="8"/>
    </row>
    <row r="500" spans="1:7">
      <c r="A500" s="8"/>
      <c r="F500" s="11"/>
      <c r="G500" s="8"/>
    </row>
  </sheetData>
  <conditionalFormatting sqref="H2:H500">
    <cfRule type="expression" dxfId="32" priority="1">
      <formula>$H2="Cerrada"</formula>
    </cfRule>
    <cfRule type="expression" dxfId="31" priority="2">
      <formula>$H2="Vigente"</formula>
    </cfRule>
    <cfRule type="expression" dxfId="30" priority="3">
      <formula>$H2="Cumple"</formula>
    </cfRule>
    <cfRule type="expression" dxfId="29" priority="4">
      <formula>$H2="Pendiente"</formula>
    </cfRule>
    <cfRule type="expression" dxfId="28" priority="5">
      <formula>$H2="En proceso"</formula>
    </cfRule>
    <cfRule type="expression" dxfId="27" priority="6">
      <formula>$H2="Vencida"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504"/>
  <sheetViews>
    <sheetView workbookViewId="0">
      <selection activeCell="G4" sqref="G4"/>
    </sheetView>
  </sheetViews>
  <sheetFormatPr baseColWidth="10" defaultColWidth="8.6640625" defaultRowHeight="14"/>
  <cols>
    <col min="1" max="1" width="10.1640625" customWidth="1"/>
    <col min="2" max="2" width="17.08203125" customWidth="1"/>
    <col min="3" max="3" width="23.4140625" customWidth="1"/>
    <col min="4" max="4" width="22.6640625" customWidth="1"/>
    <col min="5" max="5" width="10.75" customWidth="1"/>
    <col min="6" max="6" width="7" customWidth="1"/>
    <col min="7" max="7" width="8.33203125" customWidth="1"/>
    <col min="8" max="8" width="37.9140625" customWidth="1"/>
  </cols>
  <sheetData>
    <row r="1" spans="1:14" ht="15.15" customHeight="1">
      <c r="A1" s="5" t="s">
        <v>0</v>
      </c>
      <c r="B1" s="5" t="s">
        <v>3</v>
      </c>
      <c r="C1" s="5" t="s">
        <v>4</v>
      </c>
      <c r="D1" s="5" t="s">
        <v>214</v>
      </c>
      <c r="E1" s="5" t="s">
        <v>215</v>
      </c>
      <c r="F1" s="5" t="s">
        <v>9</v>
      </c>
      <c r="G1" s="5" t="s">
        <v>10</v>
      </c>
      <c r="H1" s="5" t="s">
        <v>114</v>
      </c>
    </row>
    <row r="2" spans="1:14" ht="18.649999999999999" customHeight="1">
      <c r="A2" s="18">
        <v>45930</v>
      </c>
      <c r="B2" s="15" t="s">
        <v>216</v>
      </c>
      <c r="C2" s="15" t="s">
        <v>217</v>
      </c>
      <c r="D2" s="15" t="s">
        <v>218</v>
      </c>
      <c r="E2" s="26">
        <v>45855</v>
      </c>
      <c r="F2" s="15" t="s">
        <v>13</v>
      </c>
      <c r="G2" s="15"/>
      <c r="H2" s="15" t="s">
        <v>219</v>
      </c>
      <c r="I2" s="14"/>
      <c r="J2" s="14"/>
      <c r="K2" s="14"/>
      <c r="L2" s="14"/>
      <c r="M2" s="14"/>
      <c r="N2" s="14"/>
    </row>
    <row r="3" spans="1:14" ht="18.649999999999999" customHeight="1">
      <c r="A3" s="18">
        <v>46021</v>
      </c>
      <c r="B3" s="15" t="s">
        <v>220</v>
      </c>
      <c r="C3" s="15" t="s">
        <v>221</v>
      </c>
      <c r="D3" s="15" t="s">
        <v>222</v>
      </c>
      <c r="E3" s="26">
        <v>45855</v>
      </c>
      <c r="F3" s="15" t="s">
        <v>13</v>
      </c>
      <c r="G3" s="15"/>
      <c r="H3" s="15" t="s">
        <v>223</v>
      </c>
      <c r="I3" s="14"/>
      <c r="J3" s="14"/>
      <c r="K3" s="14"/>
      <c r="L3" s="14"/>
      <c r="M3" s="14"/>
      <c r="N3" s="14"/>
    </row>
    <row r="4" spans="1:14" ht="18.649999999999999" customHeight="1">
      <c r="A4" s="18">
        <v>46021</v>
      </c>
      <c r="B4" s="15" t="s">
        <v>224</v>
      </c>
      <c r="C4" s="15" t="s">
        <v>225</v>
      </c>
      <c r="D4" s="15" t="s">
        <v>226</v>
      </c>
      <c r="E4" s="26">
        <v>45855</v>
      </c>
      <c r="F4" s="15" t="s">
        <v>13</v>
      </c>
      <c r="G4" s="15"/>
      <c r="H4" s="15" t="s">
        <v>223</v>
      </c>
      <c r="I4" s="14"/>
      <c r="J4" s="14"/>
      <c r="K4" s="14"/>
      <c r="L4" s="14"/>
      <c r="M4" s="14"/>
      <c r="N4" s="14"/>
    </row>
    <row r="5" spans="1:14" ht="18.649999999999999" customHeight="1">
      <c r="A5" s="18">
        <v>46053</v>
      </c>
      <c r="B5" s="15" t="s">
        <v>227</v>
      </c>
      <c r="C5" s="15" t="s">
        <v>228</v>
      </c>
      <c r="D5" s="15" t="s">
        <v>229</v>
      </c>
      <c r="E5" s="15" t="s">
        <v>230</v>
      </c>
      <c r="F5" s="15" t="s">
        <v>13</v>
      </c>
      <c r="G5" s="15"/>
      <c r="H5" s="15" t="s">
        <v>231</v>
      </c>
      <c r="I5" s="14"/>
      <c r="J5" s="14"/>
      <c r="K5" s="14"/>
      <c r="L5" s="14"/>
      <c r="M5" s="14"/>
      <c r="N5" s="14"/>
    </row>
    <row r="6" spans="1:14" ht="18.649999999999999" customHeight="1">
      <c r="A6" s="18">
        <v>46081</v>
      </c>
      <c r="B6" s="15" t="s">
        <v>232</v>
      </c>
      <c r="C6" s="15" t="s">
        <v>233</v>
      </c>
      <c r="D6" s="15" t="s">
        <v>229</v>
      </c>
      <c r="E6" s="15" t="s">
        <v>234</v>
      </c>
      <c r="F6" s="15" t="s">
        <v>13</v>
      </c>
      <c r="G6" s="15"/>
      <c r="H6" s="15" t="s">
        <v>231</v>
      </c>
      <c r="I6" s="14"/>
      <c r="J6" s="14"/>
      <c r="K6" s="14"/>
      <c r="L6" s="14"/>
      <c r="M6" s="14"/>
      <c r="N6" s="14"/>
    </row>
    <row r="7" spans="1:14" ht="18.649999999999999" customHeight="1">
      <c r="A7" s="18">
        <v>46112</v>
      </c>
      <c r="B7" s="15" t="s">
        <v>235</v>
      </c>
      <c r="C7" s="15" t="s">
        <v>228</v>
      </c>
      <c r="D7" s="15" t="s">
        <v>229</v>
      </c>
      <c r="E7" s="15" t="s">
        <v>236</v>
      </c>
      <c r="F7" s="15" t="s">
        <v>13</v>
      </c>
      <c r="G7" s="15"/>
      <c r="H7" s="15" t="s">
        <v>231</v>
      </c>
      <c r="I7" s="14"/>
      <c r="J7" s="14"/>
      <c r="K7" s="14"/>
      <c r="L7" s="14"/>
      <c r="M7" s="14"/>
      <c r="N7" s="14"/>
    </row>
    <row r="8" spans="1:14" ht="18.649999999999999" customHeight="1">
      <c r="A8" s="18">
        <v>46142</v>
      </c>
      <c r="B8" s="15" t="s">
        <v>237</v>
      </c>
      <c r="C8" s="15" t="s">
        <v>238</v>
      </c>
      <c r="D8" s="15" t="s">
        <v>229</v>
      </c>
      <c r="E8" s="15" t="s">
        <v>239</v>
      </c>
      <c r="F8" s="15" t="s">
        <v>13</v>
      </c>
      <c r="G8" s="15"/>
      <c r="H8" s="15" t="s">
        <v>231</v>
      </c>
      <c r="I8" s="14"/>
      <c r="J8" s="14"/>
      <c r="K8" s="14"/>
      <c r="L8" s="14"/>
      <c r="M8" s="14"/>
      <c r="N8" s="14"/>
    </row>
    <row r="9" spans="1:14">
      <c r="A9" s="18">
        <v>46173</v>
      </c>
      <c r="B9" s="15" t="s">
        <v>240</v>
      </c>
      <c r="C9" s="15" t="s">
        <v>241</v>
      </c>
      <c r="D9" s="15" t="s">
        <v>229</v>
      </c>
      <c r="E9" s="15" t="s">
        <v>242</v>
      </c>
      <c r="F9" s="15" t="s">
        <v>13</v>
      </c>
      <c r="G9" s="15"/>
      <c r="H9" s="15" t="s">
        <v>231</v>
      </c>
    </row>
    <row r="10" spans="1:14">
      <c r="A10" s="18">
        <v>46203</v>
      </c>
      <c r="B10" s="15" t="s">
        <v>243</v>
      </c>
      <c r="C10" s="15" t="s">
        <v>244</v>
      </c>
      <c r="D10" s="15" t="s">
        <v>229</v>
      </c>
      <c r="E10" s="15" t="s">
        <v>245</v>
      </c>
      <c r="F10" s="15" t="s">
        <v>13</v>
      </c>
      <c r="G10" s="15"/>
      <c r="H10" s="15" t="s">
        <v>231</v>
      </c>
    </row>
    <row r="11" spans="1:14" ht="25" customHeight="1">
      <c r="A11" s="18">
        <v>46211</v>
      </c>
      <c r="B11" s="15" t="s">
        <v>216</v>
      </c>
      <c r="C11" s="15" t="s">
        <v>217</v>
      </c>
      <c r="D11" s="15" t="s">
        <v>246</v>
      </c>
      <c r="E11" s="15" t="s">
        <v>247</v>
      </c>
      <c r="F11" s="15" t="s">
        <v>13</v>
      </c>
      <c r="G11" s="15"/>
      <c r="H11" s="15" t="s">
        <v>248</v>
      </c>
    </row>
    <row r="12" spans="1:14">
      <c r="A12" s="18">
        <v>46234</v>
      </c>
      <c r="B12" s="15" t="s">
        <v>249</v>
      </c>
      <c r="C12" s="15" t="s">
        <v>225</v>
      </c>
      <c r="D12" s="15" t="s">
        <v>229</v>
      </c>
      <c r="E12" s="15" t="s">
        <v>247</v>
      </c>
      <c r="F12" s="15" t="s">
        <v>13</v>
      </c>
      <c r="G12" s="15"/>
      <c r="H12" s="15" t="s">
        <v>231</v>
      </c>
    </row>
    <row r="13" spans="1:14">
      <c r="A13" s="19"/>
      <c r="B13" s="16"/>
      <c r="C13" s="16"/>
      <c r="D13" s="16"/>
      <c r="E13" s="16"/>
      <c r="F13" s="16"/>
      <c r="G13" s="16"/>
      <c r="H13" s="16"/>
    </row>
    <row r="14" spans="1:14">
      <c r="A14" s="19"/>
      <c r="B14" s="16"/>
      <c r="C14" s="16"/>
      <c r="D14" s="16"/>
      <c r="E14" s="16"/>
      <c r="F14" s="16"/>
      <c r="G14" s="16"/>
      <c r="H14" s="16"/>
    </row>
    <row r="15" spans="1:14">
      <c r="A15" s="19"/>
      <c r="B15" s="16"/>
      <c r="C15" s="16"/>
      <c r="D15" s="16"/>
      <c r="E15" s="16"/>
      <c r="F15" s="16"/>
      <c r="G15" s="16"/>
      <c r="H15" s="16"/>
    </row>
    <row r="16" spans="1:14">
      <c r="A16" s="9"/>
      <c r="B16" s="1"/>
      <c r="C16" s="17"/>
      <c r="D16" s="17"/>
      <c r="E16" s="17"/>
      <c r="F16" s="17"/>
      <c r="G16" s="17"/>
      <c r="H16" s="17"/>
    </row>
    <row r="17" spans="1:8">
      <c r="A17" s="8"/>
      <c r="C17" s="16"/>
      <c r="D17" s="16"/>
      <c r="E17" s="16"/>
      <c r="F17" s="16"/>
      <c r="G17" s="16"/>
      <c r="H17" s="16"/>
    </row>
    <row r="18" spans="1:8">
      <c r="A18" s="8"/>
      <c r="C18" s="16"/>
      <c r="D18" s="16"/>
      <c r="E18" s="16"/>
      <c r="F18" s="16"/>
      <c r="G18" s="16"/>
      <c r="H18" s="16"/>
    </row>
    <row r="19" spans="1:8">
      <c r="A19" s="8"/>
      <c r="C19" s="16"/>
      <c r="D19" s="16"/>
      <c r="E19" s="16"/>
      <c r="F19" s="16"/>
      <c r="G19" s="16"/>
      <c r="H19" s="16"/>
    </row>
    <row r="20" spans="1:8">
      <c r="A20" s="8"/>
      <c r="C20" s="16"/>
      <c r="D20" s="16"/>
      <c r="E20" s="16"/>
      <c r="F20" s="16"/>
      <c r="G20" s="16"/>
      <c r="H20" s="16"/>
    </row>
    <row r="21" spans="1:8">
      <c r="A21" s="8"/>
      <c r="C21" s="16"/>
      <c r="D21" s="16"/>
      <c r="E21" s="16"/>
      <c r="F21" s="16"/>
      <c r="G21" s="16"/>
      <c r="H21" s="16"/>
    </row>
    <row r="22" spans="1:8">
      <c r="A22" s="8"/>
      <c r="C22" s="16"/>
      <c r="D22" s="16"/>
      <c r="E22" s="16"/>
      <c r="F22" s="16"/>
      <c r="G22" s="16"/>
      <c r="H22" s="16"/>
    </row>
    <row r="23" spans="1:8">
      <c r="A23" s="8"/>
      <c r="C23" s="16"/>
      <c r="D23" s="16"/>
      <c r="E23" s="16"/>
      <c r="F23" s="16"/>
      <c r="G23" s="16"/>
      <c r="H23" s="16"/>
    </row>
    <row r="24" spans="1:8">
      <c r="A24" s="8"/>
      <c r="C24" s="16"/>
      <c r="D24" s="16"/>
      <c r="E24" s="16"/>
      <c r="F24" s="16"/>
      <c r="G24" s="16"/>
      <c r="H24" s="16"/>
    </row>
    <row r="25" spans="1:8">
      <c r="A25" s="8"/>
      <c r="C25" s="16"/>
      <c r="D25" s="16"/>
      <c r="E25" s="16"/>
      <c r="F25" s="16"/>
      <c r="G25" s="16"/>
      <c r="H25" s="16"/>
    </row>
    <row r="26" spans="1:8">
      <c r="A26" s="8"/>
      <c r="C26" s="16"/>
      <c r="D26" s="16"/>
      <c r="E26" s="16"/>
      <c r="F26" s="16"/>
      <c r="G26" s="16"/>
      <c r="H26" s="16"/>
    </row>
    <row r="27" spans="1:8">
      <c r="A27" s="8"/>
      <c r="C27" s="16"/>
      <c r="D27" s="16"/>
      <c r="E27" s="16"/>
      <c r="F27" s="16"/>
      <c r="G27" s="16"/>
      <c r="H27" s="16"/>
    </row>
    <row r="28" spans="1:8">
      <c r="A28" s="8"/>
      <c r="C28" s="16"/>
      <c r="D28" s="16"/>
      <c r="E28" s="16"/>
      <c r="F28" s="16"/>
      <c r="G28" s="16"/>
      <c r="H28" s="16"/>
    </row>
    <row r="29" spans="1:8">
      <c r="A29" s="8"/>
      <c r="C29" s="16"/>
      <c r="D29" s="16"/>
      <c r="E29" s="16"/>
      <c r="F29" s="16"/>
      <c r="G29" s="16"/>
      <c r="H29" s="16"/>
    </row>
    <row r="30" spans="1:8">
      <c r="A30" s="8"/>
      <c r="C30" s="16"/>
      <c r="D30" s="16"/>
      <c r="E30" s="16"/>
      <c r="F30" s="16"/>
      <c r="G30" s="16"/>
      <c r="H30" s="16"/>
    </row>
    <row r="31" spans="1:8">
      <c r="A31" s="8"/>
      <c r="C31" s="16"/>
      <c r="D31" s="16"/>
      <c r="E31" s="16"/>
      <c r="F31" s="16"/>
      <c r="G31" s="16"/>
      <c r="H31" s="16"/>
    </row>
    <row r="32" spans="1:8">
      <c r="A32" s="8"/>
      <c r="C32" s="16"/>
      <c r="D32" s="16"/>
      <c r="E32" s="16"/>
      <c r="F32" s="16"/>
      <c r="G32" s="16"/>
      <c r="H32" s="16"/>
    </row>
    <row r="33" spans="1:8">
      <c r="A33" s="8"/>
      <c r="C33" s="16"/>
      <c r="D33" s="16"/>
      <c r="E33" s="16"/>
      <c r="F33" s="16"/>
      <c r="G33" s="16"/>
      <c r="H33" s="16"/>
    </row>
    <row r="34" spans="1:8">
      <c r="A34" s="8"/>
      <c r="C34" s="16"/>
      <c r="D34" s="16"/>
      <c r="E34" s="16"/>
      <c r="F34" s="16"/>
      <c r="G34" s="16"/>
      <c r="H34" s="16"/>
    </row>
    <row r="35" spans="1:8">
      <c r="A35" s="8"/>
      <c r="C35" s="16"/>
      <c r="D35" s="16"/>
      <c r="E35" s="16"/>
      <c r="F35" s="16"/>
      <c r="G35" s="16"/>
      <c r="H35" s="16"/>
    </row>
    <row r="36" spans="1:8">
      <c r="A36" s="8"/>
      <c r="C36" s="16"/>
      <c r="D36" s="16"/>
      <c r="E36" s="16"/>
      <c r="F36" s="16"/>
      <c r="G36" s="16"/>
      <c r="H36" s="16"/>
    </row>
    <row r="37" spans="1:8">
      <c r="A37" s="8"/>
      <c r="C37" s="16"/>
      <c r="D37" s="16"/>
      <c r="E37" s="16"/>
      <c r="F37" s="16"/>
      <c r="G37" s="16"/>
      <c r="H37" s="16"/>
    </row>
    <row r="38" spans="1:8">
      <c r="A38" s="8"/>
      <c r="C38" s="16"/>
      <c r="D38" s="16"/>
      <c r="E38" s="16"/>
      <c r="F38" s="16"/>
      <c r="G38" s="16"/>
      <c r="H38" s="16"/>
    </row>
    <row r="39" spans="1:8">
      <c r="A39" s="8"/>
      <c r="C39" s="16"/>
      <c r="D39" s="16"/>
      <c r="E39" s="16"/>
      <c r="F39" s="16"/>
      <c r="G39" s="16"/>
      <c r="H39" s="16"/>
    </row>
    <row r="40" spans="1:8">
      <c r="A40" s="8"/>
      <c r="C40" s="16"/>
      <c r="D40" s="16"/>
      <c r="E40" s="16"/>
      <c r="F40" s="16"/>
      <c r="G40" s="16"/>
      <c r="H40" s="16"/>
    </row>
    <row r="41" spans="1:8">
      <c r="A41" s="8"/>
      <c r="C41" s="16"/>
      <c r="D41" s="16"/>
      <c r="E41" s="16"/>
      <c r="F41" s="16"/>
      <c r="G41" s="16"/>
      <c r="H41" s="16"/>
    </row>
    <row r="42" spans="1:8">
      <c r="A42" s="8"/>
      <c r="C42" s="16"/>
      <c r="D42" s="16"/>
      <c r="E42" s="16"/>
      <c r="F42" s="16"/>
      <c r="G42" s="16"/>
      <c r="H42" s="16"/>
    </row>
    <row r="43" spans="1:8">
      <c r="A43" s="8"/>
      <c r="C43" s="16"/>
      <c r="D43" s="16"/>
      <c r="E43" s="16"/>
      <c r="F43" s="16"/>
      <c r="G43" s="16"/>
      <c r="H43" s="16"/>
    </row>
    <row r="44" spans="1:8">
      <c r="A44" s="8"/>
      <c r="C44" s="16"/>
      <c r="D44" s="16"/>
      <c r="E44" s="16"/>
      <c r="F44" s="16"/>
      <c r="G44" s="16"/>
      <c r="H44" s="16"/>
    </row>
    <row r="45" spans="1:8">
      <c r="A45" s="8"/>
      <c r="C45" s="16"/>
      <c r="D45" s="16"/>
      <c r="E45" s="16"/>
      <c r="F45" s="16"/>
      <c r="G45" s="16"/>
      <c r="H45" s="16"/>
    </row>
    <row r="46" spans="1:8">
      <c r="A46" s="8"/>
      <c r="C46" s="16"/>
      <c r="D46" s="16"/>
      <c r="E46" s="16"/>
      <c r="F46" s="16"/>
      <c r="G46" s="16"/>
      <c r="H46" s="16"/>
    </row>
    <row r="47" spans="1:8">
      <c r="A47" s="8"/>
      <c r="C47" s="16"/>
      <c r="D47" s="16"/>
      <c r="E47" s="16"/>
      <c r="F47" s="16"/>
      <c r="G47" s="16"/>
      <c r="H47" s="16"/>
    </row>
    <row r="48" spans="1:8">
      <c r="A48" s="8"/>
      <c r="C48" s="16"/>
      <c r="D48" s="16"/>
      <c r="E48" s="16"/>
      <c r="F48" s="16"/>
      <c r="G48" s="16"/>
      <c r="H48" s="16"/>
    </row>
    <row r="49" spans="1:8">
      <c r="A49" s="8"/>
      <c r="C49" s="16"/>
      <c r="D49" s="16"/>
      <c r="E49" s="16"/>
      <c r="F49" s="16"/>
      <c r="G49" s="16"/>
      <c r="H49" s="16"/>
    </row>
    <row r="50" spans="1:8">
      <c r="A50" s="8"/>
      <c r="C50" s="16"/>
      <c r="D50" s="16"/>
      <c r="E50" s="16"/>
      <c r="F50" s="16"/>
      <c r="G50" s="16"/>
      <c r="H50" s="16"/>
    </row>
    <row r="51" spans="1:8">
      <c r="A51" s="8"/>
      <c r="C51" s="16"/>
      <c r="D51" s="16"/>
      <c r="E51" s="16"/>
      <c r="F51" s="16"/>
      <c r="G51" s="16"/>
      <c r="H51" s="16"/>
    </row>
    <row r="52" spans="1:8">
      <c r="A52" s="8"/>
      <c r="C52" s="16"/>
      <c r="D52" s="16"/>
      <c r="E52" s="16"/>
      <c r="F52" s="16"/>
      <c r="G52" s="16"/>
      <c r="H52" s="16"/>
    </row>
    <row r="53" spans="1:8">
      <c r="A53" s="8"/>
      <c r="C53" s="16"/>
      <c r="D53" s="16"/>
      <c r="E53" s="16"/>
      <c r="F53" s="16"/>
      <c r="G53" s="16"/>
      <c r="H53" s="16"/>
    </row>
    <row r="54" spans="1:8">
      <c r="A54" s="8"/>
      <c r="C54" s="16"/>
      <c r="D54" s="16"/>
      <c r="E54" s="16"/>
      <c r="F54" s="16"/>
      <c r="G54" s="16"/>
      <c r="H54" s="16"/>
    </row>
    <row r="55" spans="1:8">
      <c r="A55" s="8"/>
      <c r="C55" s="16"/>
      <c r="D55" s="16"/>
      <c r="E55" s="16"/>
      <c r="F55" s="16"/>
      <c r="G55" s="16"/>
      <c r="H55" s="16"/>
    </row>
    <row r="56" spans="1:8">
      <c r="A56" s="8"/>
      <c r="C56" s="16"/>
      <c r="D56" s="16"/>
      <c r="E56" s="16"/>
      <c r="F56" s="16"/>
      <c r="G56" s="16"/>
      <c r="H56" s="16"/>
    </row>
    <row r="57" spans="1:8">
      <c r="A57" s="8"/>
      <c r="C57" s="16"/>
      <c r="D57" s="16"/>
      <c r="E57" s="16"/>
      <c r="F57" s="16"/>
      <c r="G57" s="16"/>
      <c r="H57" s="16"/>
    </row>
    <row r="58" spans="1:8">
      <c r="A58" s="8"/>
      <c r="C58" s="16"/>
      <c r="D58" s="16"/>
      <c r="E58" s="16"/>
      <c r="F58" s="16"/>
      <c r="G58" s="16"/>
      <c r="H58" s="16"/>
    </row>
    <row r="59" spans="1:8">
      <c r="A59" s="8"/>
      <c r="C59" s="16"/>
      <c r="D59" s="16"/>
      <c r="E59" s="16"/>
      <c r="F59" s="16"/>
      <c r="G59" s="16"/>
      <c r="H59" s="16"/>
    </row>
    <row r="60" spans="1:8">
      <c r="A60" s="8"/>
      <c r="C60" s="16"/>
      <c r="D60" s="16"/>
      <c r="E60" s="16"/>
      <c r="F60" s="16"/>
      <c r="G60" s="16"/>
      <c r="H60" s="16"/>
    </row>
    <row r="61" spans="1:8">
      <c r="A61" s="8"/>
      <c r="C61" s="16"/>
      <c r="D61" s="16"/>
      <c r="E61" s="16"/>
      <c r="F61" s="16"/>
      <c r="G61" s="16"/>
      <c r="H61" s="16"/>
    </row>
    <row r="62" spans="1:8">
      <c r="A62" s="8"/>
      <c r="C62" s="16"/>
      <c r="D62" s="16"/>
      <c r="E62" s="16"/>
      <c r="F62" s="16"/>
      <c r="G62" s="16"/>
      <c r="H62" s="16"/>
    </row>
    <row r="63" spans="1:8">
      <c r="A63" s="8"/>
      <c r="C63" s="16"/>
      <c r="D63" s="16"/>
      <c r="E63" s="16"/>
      <c r="F63" s="16"/>
      <c r="G63" s="16"/>
      <c r="H63" s="16"/>
    </row>
    <row r="64" spans="1:8">
      <c r="A64" s="8"/>
      <c r="C64" s="16"/>
      <c r="D64" s="16"/>
      <c r="E64" s="16"/>
      <c r="F64" s="16"/>
      <c r="G64" s="16"/>
      <c r="H64" s="16"/>
    </row>
    <row r="65" spans="1:8">
      <c r="A65" s="8"/>
      <c r="C65" s="16"/>
      <c r="D65" s="16"/>
      <c r="E65" s="16"/>
      <c r="F65" s="16"/>
      <c r="G65" s="16"/>
      <c r="H65" s="16"/>
    </row>
    <row r="66" spans="1:8">
      <c r="A66" s="8"/>
      <c r="C66" s="16"/>
      <c r="D66" s="16"/>
      <c r="E66" s="16"/>
      <c r="F66" s="16"/>
      <c r="G66" s="16"/>
      <c r="H66" s="16"/>
    </row>
    <row r="67" spans="1:8">
      <c r="A67" s="8"/>
      <c r="C67" s="16"/>
      <c r="D67" s="16"/>
      <c r="E67" s="16"/>
      <c r="F67" s="16"/>
      <c r="G67" s="16"/>
      <c r="H67" s="16"/>
    </row>
    <row r="68" spans="1:8">
      <c r="A68" s="8"/>
      <c r="C68" s="16"/>
      <c r="D68" s="16"/>
      <c r="E68" s="16"/>
      <c r="F68" s="16"/>
      <c r="G68" s="16"/>
      <c r="H68" s="16"/>
    </row>
    <row r="69" spans="1:8">
      <c r="A69" s="8"/>
      <c r="C69" s="16"/>
      <c r="D69" s="16"/>
      <c r="E69" s="16"/>
      <c r="F69" s="16"/>
      <c r="G69" s="16"/>
      <c r="H69" s="16"/>
    </row>
    <row r="70" spans="1:8">
      <c r="A70" s="8"/>
      <c r="C70" s="16"/>
      <c r="D70" s="16"/>
      <c r="E70" s="16"/>
      <c r="F70" s="16"/>
      <c r="G70" s="16"/>
      <c r="H70" s="16"/>
    </row>
    <row r="71" spans="1:8">
      <c r="A71" s="8"/>
      <c r="C71" s="16"/>
      <c r="D71" s="16"/>
      <c r="E71" s="16"/>
      <c r="F71" s="16"/>
      <c r="G71" s="16"/>
      <c r="H71" s="16"/>
    </row>
    <row r="72" spans="1:8">
      <c r="A72" s="8"/>
      <c r="C72" s="16"/>
      <c r="D72" s="16"/>
      <c r="E72" s="16"/>
      <c r="F72" s="16"/>
      <c r="G72" s="16"/>
      <c r="H72" s="16"/>
    </row>
    <row r="73" spans="1:8">
      <c r="A73" s="8"/>
      <c r="C73" s="16"/>
      <c r="D73" s="16"/>
      <c r="E73" s="16"/>
      <c r="F73" s="16"/>
      <c r="G73" s="16"/>
      <c r="H73" s="16"/>
    </row>
    <row r="74" spans="1:8">
      <c r="A74" s="8"/>
      <c r="C74" s="16"/>
      <c r="D74" s="16"/>
      <c r="E74" s="16"/>
      <c r="F74" s="16"/>
      <c r="G74" s="16"/>
      <c r="H74" s="16"/>
    </row>
    <row r="75" spans="1:8">
      <c r="A75" s="8"/>
      <c r="C75" s="16"/>
      <c r="D75" s="16"/>
      <c r="E75" s="16"/>
      <c r="F75" s="16"/>
      <c r="G75" s="16"/>
      <c r="H75" s="16"/>
    </row>
    <row r="76" spans="1:8">
      <c r="A76" s="8"/>
      <c r="C76" s="16"/>
      <c r="D76" s="16"/>
      <c r="E76" s="16"/>
      <c r="F76" s="16"/>
      <c r="G76" s="16"/>
      <c r="H76" s="16"/>
    </row>
    <row r="77" spans="1:8">
      <c r="A77" s="8"/>
      <c r="C77" s="16"/>
      <c r="D77" s="16"/>
      <c r="E77" s="16"/>
      <c r="F77" s="16"/>
      <c r="G77" s="16"/>
      <c r="H77" s="16"/>
    </row>
    <row r="78" spans="1:8">
      <c r="A78" s="8"/>
      <c r="C78" s="16"/>
      <c r="D78" s="16"/>
      <c r="E78" s="16"/>
      <c r="F78" s="16"/>
      <c r="G78" s="16"/>
      <c r="H78" s="16"/>
    </row>
    <row r="79" spans="1:8">
      <c r="A79" s="8"/>
      <c r="C79" s="16"/>
      <c r="D79" s="16"/>
      <c r="E79" s="16"/>
      <c r="F79" s="16"/>
      <c r="G79" s="16"/>
      <c r="H79" s="16"/>
    </row>
    <row r="80" spans="1:8">
      <c r="A80" s="8"/>
      <c r="C80" s="16"/>
      <c r="D80" s="16"/>
      <c r="E80" s="16"/>
      <c r="F80" s="16"/>
      <c r="G80" s="16"/>
      <c r="H80" s="16"/>
    </row>
    <row r="81" spans="1:8">
      <c r="A81" s="8"/>
      <c r="C81" s="16"/>
      <c r="D81" s="16"/>
      <c r="E81" s="16"/>
      <c r="F81" s="16"/>
      <c r="G81" s="16"/>
      <c r="H81" s="16"/>
    </row>
    <row r="82" spans="1:8">
      <c r="A82" s="8"/>
      <c r="C82" s="16"/>
      <c r="D82" s="16"/>
      <c r="E82" s="16"/>
      <c r="F82" s="16"/>
      <c r="G82" s="16"/>
      <c r="H82" s="16"/>
    </row>
    <row r="83" spans="1:8">
      <c r="A83" s="8"/>
      <c r="C83" s="16"/>
      <c r="D83" s="16"/>
      <c r="E83" s="16"/>
      <c r="F83" s="16"/>
      <c r="G83" s="16"/>
      <c r="H83" s="16"/>
    </row>
    <row r="84" spans="1:8">
      <c r="A84" s="8"/>
      <c r="C84" s="16"/>
      <c r="D84" s="16"/>
      <c r="E84" s="16"/>
      <c r="F84" s="16"/>
      <c r="G84" s="16"/>
      <c r="H84" s="16"/>
    </row>
    <row r="85" spans="1:8">
      <c r="A85" s="8"/>
      <c r="C85" s="16"/>
      <c r="D85" s="16"/>
      <c r="E85" s="16"/>
      <c r="F85" s="16"/>
      <c r="G85" s="16"/>
      <c r="H85" s="16"/>
    </row>
    <row r="86" spans="1:8">
      <c r="A86" s="8"/>
      <c r="C86" s="16"/>
      <c r="D86" s="16"/>
      <c r="E86" s="16"/>
      <c r="F86" s="16"/>
      <c r="G86" s="16"/>
      <c r="H86" s="16"/>
    </row>
    <row r="87" spans="1:8">
      <c r="A87" s="8"/>
      <c r="C87" s="16"/>
      <c r="D87" s="16"/>
      <c r="E87" s="16"/>
      <c r="F87" s="16"/>
      <c r="G87" s="16"/>
      <c r="H87" s="16"/>
    </row>
    <row r="88" spans="1:8">
      <c r="A88" s="8"/>
      <c r="C88" s="16"/>
      <c r="D88" s="16"/>
      <c r="E88" s="16"/>
      <c r="F88" s="16"/>
      <c r="G88" s="16"/>
      <c r="H88" s="16"/>
    </row>
    <row r="89" spans="1:8">
      <c r="A89" s="8"/>
      <c r="C89" s="16"/>
      <c r="D89" s="16"/>
      <c r="E89" s="16"/>
      <c r="F89" s="16"/>
      <c r="G89" s="16"/>
      <c r="H89" s="16"/>
    </row>
    <row r="90" spans="1:8">
      <c r="A90" s="8"/>
      <c r="C90" s="16"/>
      <c r="D90" s="16"/>
      <c r="E90" s="16"/>
      <c r="F90" s="16"/>
      <c r="G90" s="16"/>
      <c r="H90" s="16"/>
    </row>
    <row r="91" spans="1:8">
      <c r="A91" s="8"/>
      <c r="C91" s="16"/>
      <c r="D91" s="16"/>
      <c r="E91" s="16"/>
      <c r="F91" s="16"/>
      <c r="G91" s="16"/>
      <c r="H91" s="16"/>
    </row>
    <row r="92" spans="1:8">
      <c r="A92" s="8"/>
      <c r="C92" s="16"/>
      <c r="D92" s="16"/>
      <c r="E92" s="16"/>
      <c r="F92" s="16"/>
      <c r="G92" s="16"/>
      <c r="H92" s="16"/>
    </row>
    <row r="93" spans="1:8">
      <c r="A93" s="8"/>
      <c r="C93" s="16"/>
      <c r="D93" s="16"/>
      <c r="E93" s="16"/>
      <c r="F93" s="16"/>
      <c r="G93" s="16"/>
      <c r="H93" s="16"/>
    </row>
    <row r="94" spans="1:8">
      <c r="A94" s="8"/>
      <c r="C94" s="16"/>
      <c r="D94" s="16"/>
      <c r="E94" s="16"/>
      <c r="F94" s="16"/>
      <c r="G94" s="16"/>
      <c r="H94" s="16"/>
    </row>
    <row r="95" spans="1:8">
      <c r="A95" s="8"/>
      <c r="C95" s="16"/>
      <c r="D95" s="16"/>
      <c r="E95" s="16"/>
      <c r="F95" s="16"/>
      <c r="G95" s="16"/>
      <c r="H95" s="16"/>
    </row>
    <row r="96" spans="1:8">
      <c r="A96" s="8"/>
      <c r="C96" s="16"/>
      <c r="D96" s="16"/>
      <c r="E96" s="16"/>
      <c r="F96" s="16"/>
      <c r="G96" s="16"/>
      <c r="H96" s="16"/>
    </row>
    <row r="97" spans="1:8">
      <c r="A97" s="8"/>
      <c r="C97" s="16"/>
      <c r="D97" s="16"/>
      <c r="E97" s="16"/>
      <c r="F97" s="16"/>
      <c r="G97" s="16"/>
      <c r="H97" s="16"/>
    </row>
    <row r="98" spans="1:8">
      <c r="A98" s="8"/>
      <c r="C98" s="16"/>
      <c r="D98" s="16"/>
      <c r="E98" s="16"/>
      <c r="F98" s="16"/>
      <c r="G98" s="16"/>
      <c r="H98" s="16"/>
    </row>
    <row r="99" spans="1:8">
      <c r="A99" s="8"/>
      <c r="C99" s="16"/>
      <c r="D99" s="16"/>
      <c r="E99" s="16"/>
      <c r="F99" s="16"/>
      <c r="G99" s="16"/>
      <c r="H99" s="16"/>
    </row>
    <row r="100" spans="1:8">
      <c r="A100" s="8"/>
      <c r="C100" s="16"/>
      <c r="D100" s="16"/>
      <c r="E100" s="16"/>
      <c r="F100" s="16"/>
      <c r="G100" s="16"/>
      <c r="H100" s="16"/>
    </row>
    <row r="101" spans="1:8">
      <c r="A101" s="8"/>
      <c r="C101" s="16"/>
      <c r="D101" s="16"/>
      <c r="E101" s="16"/>
      <c r="F101" s="16"/>
      <c r="G101" s="16"/>
      <c r="H101" s="16"/>
    </row>
    <row r="102" spans="1:8">
      <c r="A102" s="8"/>
      <c r="C102" s="16"/>
      <c r="D102" s="16"/>
      <c r="E102" s="16"/>
      <c r="F102" s="16"/>
      <c r="G102" s="16"/>
      <c r="H102" s="16"/>
    </row>
    <row r="103" spans="1:8">
      <c r="A103" s="8"/>
      <c r="C103" s="16"/>
      <c r="D103" s="16"/>
      <c r="E103" s="16"/>
      <c r="F103" s="16"/>
      <c r="G103" s="16"/>
      <c r="H103" s="16"/>
    </row>
    <row r="104" spans="1:8">
      <c r="A104" s="8"/>
      <c r="C104" s="16"/>
      <c r="D104" s="16"/>
      <c r="E104" s="16"/>
      <c r="F104" s="16"/>
      <c r="G104" s="16"/>
      <c r="H104" s="16"/>
    </row>
    <row r="105" spans="1:8">
      <c r="A105" s="8"/>
      <c r="C105" s="16"/>
      <c r="D105" s="16"/>
      <c r="E105" s="16"/>
      <c r="F105" s="16"/>
      <c r="G105" s="16"/>
      <c r="H105" s="16"/>
    </row>
    <row r="106" spans="1:8">
      <c r="A106" s="8"/>
      <c r="C106" s="16"/>
      <c r="D106" s="16"/>
      <c r="E106" s="16"/>
      <c r="F106" s="16"/>
      <c r="G106" s="16"/>
      <c r="H106" s="16"/>
    </row>
    <row r="107" spans="1:8">
      <c r="A107" s="8"/>
      <c r="C107" s="16"/>
      <c r="D107" s="16"/>
      <c r="E107" s="16"/>
      <c r="F107" s="16"/>
      <c r="G107" s="16"/>
      <c r="H107" s="16"/>
    </row>
    <row r="108" spans="1:8">
      <c r="A108" s="8"/>
      <c r="C108" s="16"/>
      <c r="D108" s="16"/>
      <c r="E108" s="16"/>
      <c r="F108" s="16"/>
      <c r="G108" s="16"/>
      <c r="H108" s="16"/>
    </row>
    <row r="109" spans="1:8">
      <c r="A109" s="8"/>
      <c r="C109" s="16"/>
      <c r="D109" s="16"/>
      <c r="E109" s="16"/>
      <c r="F109" s="16"/>
      <c r="G109" s="16"/>
      <c r="H109" s="16"/>
    </row>
    <row r="110" spans="1:8">
      <c r="A110" s="8"/>
      <c r="C110" s="16"/>
      <c r="D110" s="16"/>
      <c r="E110" s="16"/>
      <c r="F110" s="16"/>
      <c r="G110" s="16"/>
      <c r="H110" s="16"/>
    </row>
    <row r="111" spans="1:8">
      <c r="A111" s="8"/>
      <c r="C111" s="16"/>
      <c r="D111" s="16"/>
      <c r="E111" s="16"/>
      <c r="F111" s="16"/>
      <c r="G111" s="16"/>
      <c r="H111" s="16"/>
    </row>
    <row r="112" spans="1:8">
      <c r="A112" s="8"/>
      <c r="C112" s="16"/>
      <c r="D112" s="16"/>
      <c r="E112" s="16"/>
      <c r="F112" s="16"/>
      <c r="G112" s="16"/>
      <c r="H112" s="16"/>
    </row>
    <row r="113" spans="1:8">
      <c r="A113" s="8"/>
      <c r="C113" s="16"/>
      <c r="D113" s="16"/>
      <c r="E113" s="16"/>
      <c r="F113" s="16"/>
      <c r="G113" s="16"/>
      <c r="H113" s="16"/>
    </row>
    <row r="114" spans="1:8">
      <c r="A114" s="8"/>
      <c r="C114" s="16"/>
      <c r="D114" s="16"/>
      <c r="E114" s="16"/>
      <c r="F114" s="16"/>
      <c r="G114" s="16"/>
      <c r="H114" s="16"/>
    </row>
    <row r="115" spans="1:8">
      <c r="A115" s="8"/>
      <c r="C115" s="16"/>
      <c r="D115" s="16"/>
      <c r="E115" s="16"/>
      <c r="F115" s="16"/>
      <c r="G115" s="16"/>
      <c r="H115" s="16"/>
    </row>
    <row r="116" spans="1:8">
      <c r="A116" s="8"/>
      <c r="C116" s="16"/>
      <c r="D116" s="16"/>
      <c r="E116" s="16"/>
      <c r="F116" s="16"/>
      <c r="G116" s="16"/>
      <c r="H116" s="16"/>
    </row>
    <row r="117" spans="1:8">
      <c r="A117" s="8"/>
      <c r="C117" s="16"/>
      <c r="D117" s="16"/>
      <c r="E117" s="16"/>
      <c r="F117" s="16"/>
      <c r="G117" s="16"/>
      <c r="H117" s="16"/>
    </row>
    <row r="118" spans="1:8">
      <c r="A118" s="8"/>
      <c r="C118" s="16"/>
      <c r="D118" s="16"/>
      <c r="E118" s="16"/>
      <c r="F118" s="16"/>
      <c r="G118" s="16"/>
      <c r="H118" s="16"/>
    </row>
    <row r="119" spans="1:8">
      <c r="A119" s="8"/>
      <c r="C119" s="16"/>
      <c r="D119" s="16"/>
      <c r="E119" s="16"/>
      <c r="F119" s="16"/>
      <c r="G119" s="16"/>
      <c r="H119" s="16"/>
    </row>
    <row r="120" spans="1:8">
      <c r="A120" s="8"/>
      <c r="C120" s="16"/>
      <c r="D120" s="16"/>
      <c r="E120" s="16"/>
      <c r="F120" s="16"/>
      <c r="G120" s="16"/>
      <c r="H120" s="16"/>
    </row>
    <row r="121" spans="1:8">
      <c r="A121" s="8"/>
      <c r="C121" s="16"/>
      <c r="D121" s="16"/>
      <c r="E121" s="16"/>
      <c r="F121" s="16"/>
      <c r="G121" s="16"/>
      <c r="H121" s="16"/>
    </row>
    <row r="122" spans="1:8">
      <c r="A122" s="8"/>
      <c r="C122" s="16"/>
      <c r="D122" s="16"/>
      <c r="E122" s="16"/>
      <c r="F122" s="16"/>
      <c r="G122" s="16"/>
      <c r="H122" s="16"/>
    </row>
    <row r="123" spans="1:8">
      <c r="A123" s="8"/>
      <c r="C123" s="16"/>
      <c r="D123" s="16"/>
      <c r="E123" s="16"/>
      <c r="F123" s="16"/>
      <c r="G123" s="16"/>
      <c r="H123" s="16"/>
    </row>
    <row r="124" spans="1:8">
      <c r="A124" s="8"/>
      <c r="C124" s="16"/>
      <c r="D124" s="16"/>
      <c r="E124" s="16"/>
      <c r="F124" s="16"/>
      <c r="G124" s="16"/>
      <c r="H124" s="16"/>
    </row>
    <row r="125" spans="1:8">
      <c r="A125" s="8"/>
      <c r="C125" s="16"/>
      <c r="D125" s="16"/>
      <c r="E125" s="16"/>
      <c r="F125" s="16"/>
      <c r="G125" s="16"/>
      <c r="H125" s="16"/>
    </row>
    <row r="126" spans="1:8">
      <c r="A126" s="8"/>
      <c r="C126" s="16"/>
      <c r="D126" s="16"/>
      <c r="E126" s="16"/>
      <c r="F126" s="16"/>
      <c r="G126" s="16"/>
      <c r="H126" s="16"/>
    </row>
    <row r="127" spans="1:8">
      <c r="A127" s="8"/>
      <c r="C127" s="16"/>
      <c r="D127" s="16"/>
      <c r="E127" s="16"/>
      <c r="F127" s="16"/>
      <c r="G127" s="16"/>
      <c r="H127" s="16"/>
    </row>
    <row r="128" spans="1:8">
      <c r="A128" s="8"/>
      <c r="C128" s="16"/>
      <c r="D128" s="16"/>
      <c r="E128" s="16"/>
      <c r="F128" s="16"/>
      <c r="G128" s="16"/>
      <c r="H128" s="16"/>
    </row>
    <row r="129" spans="1:8">
      <c r="A129" s="8"/>
      <c r="C129" s="16"/>
      <c r="D129" s="16"/>
      <c r="E129" s="16"/>
      <c r="F129" s="16"/>
      <c r="G129" s="16"/>
      <c r="H129" s="16"/>
    </row>
    <row r="130" spans="1:8">
      <c r="A130" s="8"/>
      <c r="C130" s="16"/>
      <c r="D130" s="16"/>
      <c r="E130" s="16"/>
      <c r="F130" s="16"/>
      <c r="G130" s="16"/>
      <c r="H130" s="16"/>
    </row>
    <row r="131" spans="1:8">
      <c r="A131" s="8"/>
      <c r="C131" s="16"/>
      <c r="D131" s="16"/>
      <c r="E131" s="16"/>
      <c r="F131" s="16"/>
      <c r="G131" s="16"/>
      <c r="H131" s="16"/>
    </row>
    <row r="132" spans="1:8">
      <c r="A132" s="8"/>
      <c r="C132" s="16"/>
      <c r="D132" s="16"/>
      <c r="E132" s="16"/>
      <c r="F132" s="16"/>
      <c r="G132" s="16"/>
      <c r="H132" s="16"/>
    </row>
    <row r="133" spans="1:8">
      <c r="A133" s="8"/>
      <c r="C133" s="16"/>
      <c r="D133" s="16"/>
      <c r="E133" s="16"/>
      <c r="F133" s="16"/>
      <c r="G133" s="16"/>
      <c r="H133" s="16"/>
    </row>
    <row r="134" spans="1:8">
      <c r="A134" s="8"/>
      <c r="C134" s="16"/>
      <c r="D134" s="16"/>
      <c r="E134" s="16"/>
      <c r="F134" s="16"/>
      <c r="G134" s="16"/>
      <c r="H134" s="16"/>
    </row>
    <row r="135" spans="1:8">
      <c r="A135" s="8"/>
      <c r="C135" s="16"/>
      <c r="D135" s="16"/>
      <c r="E135" s="16"/>
      <c r="F135" s="16"/>
      <c r="G135" s="16"/>
      <c r="H135" s="16"/>
    </row>
    <row r="136" spans="1:8">
      <c r="A136" s="8"/>
      <c r="C136" s="16"/>
      <c r="D136" s="16"/>
      <c r="E136" s="16"/>
      <c r="F136" s="16"/>
      <c r="G136" s="16"/>
      <c r="H136" s="16"/>
    </row>
    <row r="137" spans="1:8">
      <c r="A137" s="8"/>
      <c r="C137" s="16"/>
      <c r="D137" s="16"/>
      <c r="E137" s="16"/>
      <c r="F137" s="16"/>
      <c r="G137" s="16"/>
      <c r="H137" s="16"/>
    </row>
    <row r="138" spans="1:8">
      <c r="A138" s="8"/>
      <c r="C138" s="16"/>
      <c r="D138" s="16"/>
      <c r="E138" s="16"/>
      <c r="F138" s="16"/>
      <c r="G138" s="16"/>
      <c r="H138" s="16"/>
    </row>
    <row r="139" spans="1:8">
      <c r="A139" s="8"/>
      <c r="C139" s="16"/>
      <c r="D139" s="16"/>
      <c r="E139" s="16"/>
      <c r="F139" s="16"/>
      <c r="G139" s="16"/>
      <c r="H139" s="16"/>
    </row>
    <row r="140" spans="1:8">
      <c r="A140" s="8"/>
      <c r="C140" s="16"/>
      <c r="D140" s="16"/>
      <c r="E140" s="16"/>
      <c r="F140" s="16"/>
      <c r="G140" s="16"/>
      <c r="H140" s="16"/>
    </row>
    <row r="141" spans="1:8">
      <c r="A141" s="8"/>
      <c r="C141" s="16"/>
      <c r="D141" s="16"/>
      <c r="E141" s="16"/>
      <c r="F141" s="16"/>
      <c r="G141" s="16"/>
      <c r="H141" s="16"/>
    </row>
    <row r="142" spans="1:8">
      <c r="A142" s="8"/>
      <c r="C142" s="16"/>
      <c r="D142" s="16"/>
      <c r="E142" s="16"/>
      <c r="F142" s="16"/>
      <c r="G142" s="16"/>
      <c r="H142" s="16"/>
    </row>
    <row r="143" spans="1:8">
      <c r="A143" s="8"/>
      <c r="C143" s="16"/>
      <c r="D143" s="16"/>
      <c r="E143" s="16"/>
      <c r="F143" s="16"/>
      <c r="G143" s="16"/>
      <c r="H143" s="16"/>
    </row>
    <row r="144" spans="1:8">
      <c r="A144" s="8"/>
      <c r="C144" s="16"/>
      <c r="D144" s="16"/>
      <c r="E144" s="16"/>
      <c r="F144" s="16"/>
      <c r="G144" s="16"/>
      <c r="H144" s="16"/>
    </row>
    <row r="145" spans="1:8">
      <c r="A145" s="8"/>
      <c r="C145" s="16"/>
      <c r="D145" s="16"/>
      <c r="E145" s="16"/>
      <c r="F145" s="16"/>
      <c r="G145" s="16"/>
      <c r="H145" s="16"/>
    </row>
    <row r="146" spans="1:8">
      <c r="A146" s="8"/>
      <c r="C146" s="16"/>
      <c r="D146" s="16"/>
      <c r="E146" s="16"/>
      <c r="F146" s="16"/>
      <c r="G146" s="16"/>
      <c r="H146" s="16"/>
    </row>
    <row r="147" spans="1:8">
      <c r="A147" s="8"/>
      <c r="C147" s="16"/>
      <c r="D147" s="16"/>
      <c r="E147" s="16"/>
      <c r="F147" s="16"/>
      <c r="G147" s="16"/>
      <c r="H147" s="16"/>
    </row>
    <row r="148" spans="1:8">
      <c r="A148" s="8"/>
      <c r="C148" s="16"/>
      <c r="D148" s="16"/>
      <c r="E148" s="16"/>
      <c r="F148" s="16"/>
      <c r="G148" s="16"/>
      <c r="H148" s="16"/>
    </row>
    <row r="149" spans="1:8">
      <c r="A149" s="8"/>
      <c r="C149" s="16"/>
      <c r="D149" s="16"/>
      <c r="E149" s="16"/>
      <c r="F149" s="16"/>
      <c r="G149" s="16"/>
      <c r="H149" s="16"/>
    </row>
    <row r="150" spans="1:8">
      <c r="A150" s="8"/>
      <c r="C150" s="16"/>
      <c r="D150" s="16"/>
      <c r="E150" s="16"/>
      <c r="F150" s="16"/>
      <c r="G150" s="16"/>
      <c r="H150" s="16"/>
    </row>
    <row r="151" spans="1:8">
      <c r="A151" s="8"/>
      <c r="C151" s="16"/>
      <c r="D151" s="16"/>
      <c r="E151" s="16"/>
      <c r="F151" s="16"/>
      <c r="G151" s="16"/>
      <c r="H151" s="16"/>
    </row>
    <row r="152" spans="1:8">
      <c r="A152" s="8"/>
      <c r="C152" s="16"/>
      <c r="D152" s="16"/>
      <c r="E152" s="16"/>
      <c r="F152" s="16"/>
      <c r="G152" s="16"/>
      <c r="H152" s="16"/>
    </row>
    <row r="153" spans="1:8">
      <c r="A153" s="8"/>
      <c r="C153" s="16"/>
      <c r="D153" s="16"/>
      <c r="E153" s="16"/>
      <c r="F153" s="16"/>
      <c r="G153" s="16"/>
      <c r="H153" s="16"/>
    </row>
    <row r="154" spans="1:8">
      <c r="A154" s="8"/>
      <c r="C154" s="16"/>
      <c r="D154" s="16"/>
      <c r="E154" s="16"/>
      <c r="F154" s="16"/>
      <c r="G154" s="16"/>
      <c r="H154" s="16"/>
    </row>
    <row r="155" spans="1:8">
      <c r="A155" s="8"/>
      <c r="C155" s="16"/>
      <c r="D155" s="16"/>
      <c r="E155" s="16"/>
      <c r="F155" s="16"/>
      <c r="G155" s="16"/>
      <c r="H155" s="16"/>
    </row>
    <row r="156" spans="1:8">
      <c r="A156" s="8"/>
      <c r="C156" s="16"/>
      <c r="D156" s="16"/>
      <c r="E156" s="16"/>
      <c r="F156" s="16"/>
      <c r="G156" s="16"/>
      <c r="H156" s="16"/>
    </row>
    <row r="157" spans="1:8">
      <c r="A157" s="8"/>
      <c r="C157" s="16"/>
      <c r="D157" s="16"/>
      <c r="E157" s="16"/>
      <c r="F157" s="16"/>
      <c r="G157" s="16"/>
      <c r="H157" s="16"/>
    </row>
    <row r="158" spans="1:8">
      <c r="A158" s="8"/>
      <c r="C158" s="16"/>
      <c r="D158" s="16"/>
      <c r="E158" s="16"/>
      <c r="F158" s="16"/>
      <c r="G158" s="16"/>
      <c r="H158" s="16"/>
    </row>
    <row r="159" spans="1:8">
      <c r="A159" s="8"/>
      <c r="C159" s="16"/>
      <c r="D159" s="16"/>
      <c r="E159" s="16"/>
      <c r="F159" s="16"/>
      <c r="G159" s="16"/>
      <c r="H159" s="16"/>
    </row>
    <row r="160" spans="1:8">
      <c r="A160" s="8"/>
    </row>
    <row r="161" spans="1:1">
      <c r="A161" s="8"/>
    </row>
    <row r="162" spans="1:1">
      <c r="A162" s="8"/>
    </row>
    <row r="163" spans="1:1">
      <c r="A163" s="8"/>
    </row>
    <row r="164" spans="1:1">
      <c r="A164" s="8"/>
    </row>
    <row r="165" spans="1:1">
      <c r="A165" s="8"/>
    </row>
    <row r="166" spans="1:1">
      <c r="A166" s="8"/>
    </row>
    <row r="167" spans="1:1">
      <c r="A167" s="8"/>
    </row>
    <row r="168" spans="1:1">
      <c r="A168" s="8"/>
    </row>
    <row r="169" spans="1:1">
      <c r="A169" s="8"/>
    </row>
    <row r="170" spans="1:1">
      <c r="A170" s="8"/>
    </row>
    <row r="171" spans="1:1">
      <c r="A171" s="8"/>
    </row>
    <row r="172" spans="1:1">
      <c r="A172" s="8"/>
    </row>
    <row r="173" spans="1:1">
      <c r="A173" s="8"/>
    </row>
    <row r="174" spans="1:1">
      <c r="A174" s="8"/>
    </row>
    <row r="175" spans="1:1">
      <c r="A175" s="8"/>
    </row>
    <row r="176" spans="1:1">
      <c r="A176" s="8"/>
    </row>
    <row r="177" spans="1:1">
      <c r="A177" s="8"/>
    </row>
    <row r="178" spans="1:1">
      <c r="A178" s="8"/>
    </row>
    <row r="179" spans="1:1">
      <c r="A179" s="8"/>
    </row>
    <row r="180" spans="1:1">
      <c r="A180" s="8"/>
    </row>
    <row r="181" spans="1:1">
      <c r="A181" s="8"/>
    </row>
    <row r="182" spans="1:1">
      <c r="A182" s="8"/>
    </row>
    <row r="183" spans="1:1">
      <c r="A183" s="8"/>
    </row>
    <row r="184" spans="1:1">
      <c r="A184" s="8"/>
    </row>
    <row r="185" spans="1:1">
      <c r="A185" s="8"/>
    </row>
    <row r="186" spans="1:1">
      <c r="A186" s="8"/>
    </row>
    <row r="187" spans="1:1">
      <c r="A187" s="8"/>
    </row>
    <row r="188" spans="1:1">
      <c r="A188" s="8"/>
    </row>
    <row r="189" spans="1:1">
      <c r="A189" s="8"/>
    </row>
    <row r="190" spans="1:1">
      <c r="A190" s="8"/>
    </row>
    <row r="191" spans="1:1">
      <c r="A191" s="8"/>
    </row>
    <row r="192" spans="1:1">
      <c r="A192" s="8"/>
    </row>
    <row r="193" spans="1:1">
      <c r="A193" s="8"/>
    </row>
    <row r="194" spans="1:1">
      <c r="A194" s="8"/>
    </row>
    <row r="195" spans="1:1">
      <c r="A195" s="8"/>
    </row>
    <row r="196" spans="1:1">
      <c r="A196" s="8"/>
    </row>
    <row r="197" spans="1:1">
      <c r="A197" s="8"/>
    </row>
    <row r="198" spans="1:1">
      <c r="A198" s="8"/>
    </row>
    <row r="199" spans="1:1">
      <c r="A199" s="8"/>
    </row>
    <row r="200" spans="1:1">
      <c r="A200" s="8"/>
    </row>
    <row r="201" spans="1:1">
      <c r="A201" s="8"/>
    </row>
    <row r="202" spans="1:1">
      <c r="A202" s="8"/>
    </row>
    <row r="203" spans="1:1">
      <c r="A203" s="8"/>
    </row>
    <row r="204" spans="1:1">
      <c r="A204" s="8"/>
    </row>
    <row r="205" spans="1:1">
      <c r="A205" s="8"/>
    </row>
    <row r="206" spans="1:1">
      <c r="A206" s="8"/>
    </row>
    <row r="207" spans="1:1">
      <c r="A207" s="8"/>
    </row>
    <row r="208" spans="1:1">
      <c r="A208" s="8"/>
    </row>
    <row r="209" spans="1:1">
      <c r="A209" s="8"/>
    </row>
    <row r="210" spans="1:1">
      <c r="A210" s="8"/>
    </row>
    <row r="211" spans="1:1">
      <c r="A211" s="8"/>
    </row>
    <row r="212" spans="1:1">
      <c r="A212" s="8"/>
    </row>
    <row r="213" spans="1:1">
      <c r="A213" s="8"/>
    </row>
    <row r="214" spans="1:1">
      <c r="A214" s="8"/>
    </row>
    <row r="215" spans="1:1">
      <c r="A215" s="8"/>
    </row>
    <row r="216" spans="1:1">
      <c r="A216" s="8"/>
    </row>
    <row r="217" spans="1:1">
      <c r="A217" s="8"/>
    </row>
    <row r="218" spans="1:1">
      <c r="A218" s="8"/>
    </row>
    <row r="219" spans="1:1">
      <c r="A219" s="8"/>
    </row>
    <row r="220" spans="1:1">
      <c r="A220" s="8"/>
    </row>
    <row r="221" spans="1:1">
      <c r="A221" s="8"/>
    </row>
    <row r="222" spans="1:1">
      <c r="A222" s="8"/>
    </row>
    <row r="223" spans="1:1">
      <c r="A223" s="8"/>
    </row>
    <row r="224" spans="1:1">
      <c r="A224" s="8"/>
    </row>
    <row r="225" spans="1:1">
      <c r="A225" s="8"/>
    </row>
    <row r="226" spans="1:1">
      <c r="A226" s="8"/>
    </row>
    <row r="227" spans="1:1">
      <c r="A227" s="8"/>
    </row>
    <row r="228" spans="1:1">
      <c r="A228" s="8"/>
    </row>
    <row r="229" spans="1:1">
      <c r="A229" s="8"/>
    </row>
    <row r="230" spans="1:1">
      <c r="A230" s="8"/>
    </row>
    <row r="231" spans="1:1">
      <c r="A231" s="8"/>
    </row>
    <row r="232" spans="1:1">
      <c r="A232" s="8"/>
    </row>
    <row r="233" spans="1:1">
      <c r="A233" s="8"/>
    </row>
    <row r="234" spans="1:1">
      <c r="A234" s="8"/>
    </row>
    <row r="235" spans="1:1">
      <c r="A235" s="8"/>
    </row>
    <row r="236" spans="1:1">
      <c r="A236" s="8"/>
    </row>
    <row r="237" spans="1:1">
      <c r="A237" s="8"/>
    </row>
    <row r="238" spans="1:1">
      <c r="A238" s="8"/>
    </row>
    <row r="239" spans="1:1">
      <c r="A239" s="8"/>
    </row>
    <row r="240" spans="1:1">
      <c r="A240" s="8"/>
    </row>
    <row r="241" spans="1:1">
      <c r="A241" s="8"/>
    </row>
    <row r="242" spans="1:1">
      <c r="A242" s="8"/>
    </row>
    <row r="243" spans="1:1">
      <c r="A243" s="8"/>
    </row>
    <row r="244" spans="1:1">
      <c r="A244" s="8"/>
    </row>
    <row r="245" spans="1:1">
      <c r="A245" s="8"/>
    </row>
    <row r="246" spans="1:1">
      <c r="A246" s="8"/>
    </row>
    <row r="247" spans="1:1">
      <c r="A247" s="8"/>
    </row>
    <row r="248" spans="1:1">
      <c r="A248" s="8"/>
    </row>
    <row r="249" spans="1:1">
      <c r="A249" s="8"/>
    </row>
    <row r="250" spans="1:1">
      <c r="A250" s="8"/>
    </row>
    <row r="251" spans="1:1">
      <c r="A251" s="8"/>
    </row>
    <row r="252" spans="1:1">
      <c r="A252" s="8"/>
    </row>
    <row r="253" spans="1:1">
      <c r="A253" s="8"/>
    </row>
    <row r="254" spans="1:1">
      <c r="A254" s="8"/>
    </row>
    <row r="255" spans="1:1">
      <c r="A255" s="8"/>
    </row>
    <row r="256" spans="1:1">
      <c r="A256" s="8"/>
    </row>
    <row r="257" spans="1:1">
      <c r="A257" s="8"/>
    </row>
    <row r="258" spans="1:1">
      <c r="A258" s="8"/>
    </row>
    <row r="259" spans="1:1">
      <c r="A259" s="8"/>
    </row>
    <row r="260" spans="1:1">
      <c r="A260" s="8"/>
    </row>
    <row r="261" spans="1:1">
      <c r="A261" s="8"/>
    </row>
    <row r="262" spans="1:1">
      <c r="A262" s="8"/>
    </row>
    <row r="263" spans="1:1">
      <c r="A263" s="8"/>
    </row>
    <row r="264" spans="1:1">
      <c r="A264" s="8"/>
    </row>
    <row r="265" spans="1:1">
      <c r="A265" s="8"/>
    </row>
    <row r="266" spans="1:1">
      <c r="A266" s="8"/>
    </row>
    <row r="267" spans="1:1">
      <c r="A267" s="8"/>
    </row>
    <row r="268" spans="1:1">
      <c r="A268" s="8"/>
    </row>
    <row r="269" spans="1:1">
      <c r="A269" s="8"/>
    </row>
    <row r="270" spans="1:1">
      <c r="A270" s="8"/>
    </row>
    <row r="271" spans="1:1">
      <c r="A271" s="8"/>
    </row>
    <row r="272" spans="1:1">
      <c r="A272" s="8"/>
    </row>
    <row r="273" spans="1:1">
      <c r="A273" s="8"/>
    </row>
    <row r="274" spans="1:1">
      <c r="A274" s="8"/>
    </row>
    <row r="275" spans="1:1">
      <c r="A275" s="8"/>
    </row>
    <row r="276" spans="1:1">
      <c r="A276" s="8"/>
    </row>
    <row r="277" spans="1:1">
      <c r="A277" s="8"/>
    </row>
    <row r="278" spans="1:1">
      <c r="A278" s="8"/>
    </row>
    <row r="279" spans="1:1">
      <c r="A279" s="8"/>
    </row>
    <row r="280" spans="1:1">
      <c r="A280" s="8"/>
    </row>
    <row r="281" spans="1:1">
      <c r="A281" s="8"/>
    </row>
    <row r="282" spans="1:1">
      <c r="A282" s="8"/>
    </row>
    <row r="283" spans="1:1">
      <c r="A283" s="8"/>
    </row>
    <row r="284" spans="1:1">
      <c r="A284" s="8"/>
    </row>
    <row r="285" spans="1:1">
      <c r="A285" s="8"/>
    </row>
    <row r="286" spans="1:1">
      <c r="A286" s="8"/>
    </row>
    <row r="287" spans="1:1">
      <c r="A287" s="8"/>
    </row>
    <row r="288" spans="1:1">
      <c r="A288" s="8"/>
    </row>
    <row r="289" spans="1:1">
      <c r="A289" s="8"/>
    </row>
    <row r="290" spans="1:1">
      <c r="A290" s="8"/>
    </row>
    <row r="291" spans="1:1">
      <c r="A291" s="8"/>
    </row>
    <row r="292" spans="1:1">
      <c r="A292" s="8"/>
    </row>
    <row r="293" spans="1:1">
      <c r="A293" s="8"/>
    </row>
    <row r="294" spans="1:1">
      <c r="A294" s="8"/>
    </row>
    <row r="295" spans="1:1">
      <c r="A295" s="8"/>
    </row>
    <row r="296" spans="1:1">
      <c r="A296" s="8"/>
    </row>
    <row r="297" spans="1:1">
      <c r="A297" s="8"/>
    </row>
    <row r="298" spans="1:1">
      <c r="A298" s="8"/>
    </row>
    <row r="299" spans="1:1">
      <c r="A299" s="8"/>
    </row>
    <row r="300" spans="1:1">
      <c r="A300" s="8"/>
    </row>
    <row r="301" spans="1:1">
      <c r="A301" s="8"/>
    </row>
    <row r="302" spans="1:1">
      <c r="A302" s="8"/>
    </row>
    <row r="303" spans="1:1">
      <c r="A303" s="8"/>
    </row>
    <row r="304" spans="1:1">
      <c r="A304" s="8"/>
    </row>
    <row r="305" spans="1:1">
      <c r="A305" s="8"/>
    </row>
    <row r="306" spans="1:1">
      <c r="A306" s="8"/>
    </row>
    <row r="307" spans="1:1">
      <c r="A307" s="8"/>
    </row>
    <row r="308" spans="1:1">
      <c r="A308" s="8"/>
    </row>
    <row r="309" spans="1:1">
      <c r="A309" s="8"/>
    </row>
    <row r="310" spans="1:1">
      <c r="A310" s="8"/>
    </row>
    <row r="311" spans="1:1">
      <c r="A311" s="8"/>
    </row>
    <row r="312" spans="1:1">
      <c r="A312" s="8"/>
    </row>
    <row r="313" spans="1:1">
      <c r="A313" s="8"/>
    </row>
    <row r="314" spans="1:1">
      <c r="A314" s="8"/>
    </row>
    <row r="315" spans="1:1">
      <c r="A315" s="8"/>
    </row>
    <row r="316" spans="1:1">
      <c r="A316" s="8"/>
    </row>
    <row r="317" spans="1:1">
      <c r="A317" s="8"/>
    </row>
    <row r="318" spans="1:1">
      <c r="A318" s="8"/>
    </row>
    <row r="319" spans="1:1">
      <c r="A319" s="8"/>
    </row>
    <row r="320" spans="1:1">
      <c r="A320" s="8"/>
    </row>
    <row r="321" spans="1:1">
      <c r="A321" s="8"/>
    </row>
    <row r="322" spans="1:1">
      <c r="A322" s="8"/>
    </row>
    <row r="323" spans="1:1">
      <c r="A323" s="8"/>
    </row>
    <row r="324" spans="1:1">
      <c r="A324" s="8"/>
    </row>
    <row r="325" spans="1:1">
      <c r="A325" s="8"/>
    </row>
    <row r="326" spans="1:1">
      <c r="A326" s="8"/>
    </row>
    <row r="327" spans="1:1">
      <c r="A327" s="8"/>
    </row>
    <row r="328" spans="1:1">
      <c r="A328" s="8"/>
    </row>
    <row r="329" spans="1:1">
      <c r="A329" s="8"/>
    </row>
    <row r="330" spans="1:1">
      <c r="A330" s="8"/>
    </row>
    <row r="331" spans="1:1">
      <c r="A331" s="8"/>
    </row>
    <row r="332" spans="1:1">
      <c r="A332" s="8"/>
    </row>
    <row r="333" spans="1:1">
      <c r="A333" s="8"/>
    </row>
    <row r="334" spans="1:1">
      <c r="A334" s="8"/>
    </row>
    <row r="335" spans="1:1">
      <c r="A335" s="8"/>
    </row>
    <row r="336" spans="1:1">
      <c r="A336" s="8"/>
    </row>
    <row r="337" spans="1:1">
      <c r="A337" s="8"/>
    </row>
    <row r="338" spans="1:1">
      <c r="A338" s="8"/>
    </row>
    <row r="339" spans="1:1">
      <c r="A339" s="8"/>
    </row>
    <row r="340" spans="1:1">
      <c r="A340" s="8"/>
    </row>
    <row r="341" spans="1:1">
      <c r="A341" s="8"/>
    </row>
    <row r="342" spans="1:1">
      <c r="A342" s="8"/>
    </row>
    <row r="343" spans="1:1">
      <c r="A343" s="8"/>
    </row>
    <row r="344" spans="1:1">
      <c r="A344" s="8"/>
    </row>
    <row r="345" spans="1:1">
      <c r="A345" s="8"/>
    </row>
    <row r="346" spans="1:1">
      <c r="A346" s="8"/>
    </row>
    <row r="347" spans="1:1">
      <c r="A347" s="8"/>
    </row>
    <row r="348" spans="1:1">
      <c r="A348" s="8"/>
    </row>
    <row r="349" spans="1:1">
      <c r="A349" s="8"/>
    </row>
    <row r="350" spans="1:1">
      <c r="A350" s="8"/>
    </row>
    <row r="351" spans="1:1">
      <c r="A351" s="8"/>
    </row>
    <row r="352" spans="1:1">
      <c r="A352" s="8"/>
    </row>
    <row r="353" spans="1:1">
      <c r="A353" s="8"/>
    </row>
    <row r="354" spans="1:1">
      <c r="A354" s="8"/>
    </row>
    <row r="355" spans="1:1">
      <c r="A355" s="8"/>
    </row>
    <row r="356" spans="1:1">
      <c r="A356" s="8"/>
    </row>
    <row r="357" spans="1:1">
      <c r="A357" s="8"/>
    </row>
    <row r="358" spans="1:1">
      <c r="A358" s="8"/>
    </row>
    <row r="359" spans="1:1">
      <c r="A359" s="8"/>
    </row>
    <row r="360" spans="1:1">
      <c r="A360" s="8"/>
    </row>
    <row r="361" spans="1:1">
      <c r="A361" s="8"/>
    </row>
    <row r="362" spans="1:1">
      <c r="A362" s="8"/>
    </row>
    <row r="363" spans="1:1">
      <c r="A363" s="8"/>
    </row>
    <row r="364" spans="1:1">
      <c r="A364" s="8"/>
    </row>
    <row r="365" spans="1:1">
      <c r="A365" s="8"/>
    </row>
    <row r="366" spans="1:1">
      <c r="A366" s="8"/>
    </row>
    <row r="367" spans="1:1">
      <c r="A367" s="8"/>
    </row>
    <row r="368" spans="1:1">
      <c r="A368" s="8"/>
    </row>
    <row r="369" spans="1:1">
      <c r="A369" s="8"/>
    </row>
    <row r="370" spans="1:1">
      <c r="A370" s="8"/>
    </row>
    <row r="371" spans="1:1">
      <c r="A371" s="8"/>
    </row>
    <row r="372" spans="1:1">
      <c r="A372" s="8"/>
    </row>
    <row r="373" spans="1:1">
      <c r="A373" s="8"/>
    </row>
    <row r="374" spans="1:1">
      <c r="A374" s="8"/>
    </row>
    <row r="375" spans="1:1">
      <c r="A375" s="8"/>
    </row>
    <row r="376" spans="1:1">
      <c r="A376" s="8"/>
    </row>
    <row r="377" spans="1:1">
      <c r="A377" s="8"/>
    </row>
    <row r="378" spans="1:1">
      <c r="A378" s="8"/>
    </row>
    <row r="379" spans="1:1">
      <c r="A379" s="8"/>
    </row>
    <row r="380" spans="1:1">
      <c r="A380" s="8"/>
    </row>
    <row r="381" spans="1:1">
      <c r="A381" s="8"/>
    </row>
    <row r="382" spans="1:1">
      <c r="A382" s="8"/>
    </row>
    <row r="383" spans="1:1">
      <c r="A383" s="8"/>
    </row>
    <row r="384" spans="1:1">
      <c r="A384" s="8"/>
    </row>
    <row r="385" spans="1:1">
      <c r="A385" s="8"/>
    </row>
    <row r="386" spans="1:1">
      <c r="A386" s="8"/>
    </row>
    <row r="387" spans="1:1">
      <c r="A387" s="8"/>
    </row>
    <row r="388" spans="1:1">
      <c r="A388" s="8"/>
    </row>
    <row r="389" spans="1:1">
      <c r="A389" s="8"/>
    </row>
    <row r="390" spans="1:1">
      <c r="A390" s="8"/>
    </row>
    <row r="391" spans="1:1">
      <c r="A391" s="8"/>
    </row>
    <row r="392" spans="1:1">
      <c r="A392" s="8"/>
    </row>
    <row r="393" spans="1:1">
      <c r="A393" s="8"/>
    </row>
    <row r="394" spans="1:1">
      <c r="A394" s="8"/>
    </row>
    <row r="395" spans="1:1">
      <c r="A395" s="8"/>
    </row>
    <row r="396" spans="1:1">
      <c r="A396" s="8"/>
    </row>
    <row r="397" spans="1:1">
      <c r="A397" s="8"/>
    </row>
    <row r="398" spans="1:1">
      <c r="A398" s="8"/>
    </row>
    <row r="399" spans="1:1">
      <c r="A399" s="8"/>
    </row>
    <row r="400" spans="1:1">
      <c r="A400" s="8"/>
    </row>
    <row r="401" spans="1:1">
      <c r="A401" s="8"/>
    </row>
    <row r="402" spans="1:1">
      <c r="A402" s="8"/>
    </row>
    <row r="403" spans="1:1">
      <c r="A403" s="8"/>
    </row>
    <row r="404" spans="1:1">
      <c r="A404" s="8"/>
    </row>
    <row r="405" spans="1:1">
      <c r="A405" s="8"/>
    </row>
    <row r="406" spans="1:1">
      <c r="A406" s="8"/>
    </row>
    <row r="407" spans="1:1">
      <c r="A407" s="8"/>
    </row>
    <row r="408" spans="1:1">
      <c r="A408" s="8"/>
    </row>
    <row r="409" spans="1:1">
      <c r="A409" s="8"/>
    </row>
    <row r="410" spans="1:1">
      <c r="A410" s="8"/>
    </row>
    <row r="411" spans="1:1">
      <c r="A411" s="8"/>
    </row>
    <row r="412" spans="1:1">
      <c r="A412" s="8"/>
    </row>
    <row r="413" spans="1:1">
      <c r="A413" s="8"/>
    </row>
    <row r="414" spans="1:1">
      <c r="A414" s="8"/>
    </row>
    <row r="415" spans="1:1">
      <c r="A415" s="8"/>
    </row>
    <row r="416" spans="1:1">
      <c r="A416" s="8"/>
    </row>
    <row r="417" spans="1:1">
      <c r="A417" s="8"/>
    </row>
    <row r="418" spans="1:1">
      <c r="A418" s="8"/>
    </row>
    <row r="419" spans="1:1">
      <c r="A419" s="8"/>
    </row>
    <row r="420" spans="1:1">
      <c r="A420" s="8"/>
    </row>
    <row r="421" spans="1:1">
      <c r="A421" s="8"/>
    </row>
    <row r="422" spans="1:1">
      <c r="A422" s="8"/>
    </row>
    <row r="423" spans="1:1">
      <c r="A423" s="8"/>
    </row>
    <row r="424" spans="1:1">
      <c r="A424" s="8"/>
    </row>
    <row r="425" spans="1:1">
      <c r="A425" s="8"/>
    </row>
    <row r="426" spans="1:1">
      <c r="A426" s="8"/>
    </row>
    <row r="427" spans="1:1">
      <c r="A427" s="8"/>
    </row>
    <row r="428" spans="1:1">
      <c r="A428" s="8"/>
    </row>
    <row r="429" spans="1:1">
      <c r="A429" s="8"/>
    </row>
    <row r="430" spans="1:1">
      <c r="A430" s="8"/>
    </row>
    <row r="431" spans="1:1">
      <c r="A431" s="8"/>
    </row>
    <row r="432" spans="1:1">
      <c r="A432" s="8"/>
    </row>
    <row r="433" spans="1:1">
      <c r="A433" s="8"/>
    </row>
    <row r="434" spans="1:1">
      <c r="A434" s="8"/>
    </row>
    <row r="435" spans="1:1">
      <c r="A435" s="8"/>
    </row>
    <row r="436" spans="1:1">
      <c r="A436" s="8"/>
    </row>
    <row r="437" spans="1:1">
      <c r="A437" s="8"/>
    </row>
    <row r="438" spans="1:1">
      <c r="A438" s="8"/>
    </row>
    <row r="439" spans="1:1">
      <c r="A439" s="8"/>
    </row>
    <row r="440" spans="1:1">
      <c r="A440" s="8"/>
    </row>
    <row r="441" spans="1:1">
      <c r="A441" s="8"/>
    </row>
    <row r="442" spans="1:1">
      <c r="A442" s="8"/>
    </row>
    <row r="443" spans="1:1">
      <c r="A443" s="8"/>
    </row>
    <row r="444" spans="1:1">
      <c r="A444" s="8"/>
    </row>
    <row r="445" spans="1:1">
      <c r="A445" s="8"/>
    </row>
    <row r="446" spans="1:1">
      <c r="A446" s="8"/>
    </row>
    <row r="447" spans="1:1">
      <c r="A447" s="8"/>
    </row>
    <row r="448" spans="1:1">
      <c r="A448" s="8"/>
    </row>
    <row r="449" spans="1:1">
      <c r="A449" s="8"/>
    </row>
    <row r="450" spans="1:1">
      <c r="A450" s="8"/>
    </row>
    <row r="451" spans="1:1">
      <c r="A451" s="8"/>
    </row>
    <row r="452" spans="1:1">
      <c r="A452" s="8"/>
    </row>
    <row r="453" spans="1:1">
      <c r="A453" s="8"/>
    </row>
    <row r="454" spans="1:1">
      <c r="A454" s="8"/>
    </row>
    <row r="455" spans="1:1">
      <c r="A455" s="8"/>
    </row>
    <row r="456" spans="1:1">
      <c r="A456" s="8"/>
    </row>
    <row r="457" spans="1:1">
      <c r="A457" s="8"/>
    </row>
    <row r="458" spans="1:1">
      <c r="A458" s="8"/>
    </row>
    <row r="459" spans="1:1">
      <c r="A459" s="8"/>
    </row>
    <row r="460" spans="1:1">
      <c r="A460" s="8"/>
    </row>
    <row r="461" spans="1:1">
      <c r="A461" s="8"/>
    </row>
    <row r="462" spans="1:1">
      <c r="A462" s="8"/>
    </row>
    <row r="463" spans="1:1">
      <c r="A463" s="8"/>
    </row>
    <row r="464" spans="1:1">
      <c r="A464" s="8"/>
    </row>
    <row r="465" spans="1:1">
      <c r="A465" s="8"/>
    </row>
    <row r="466" spans="1:1">
      <c r="A466" s="8"/>
    </row>
    <row r="467" spans="1:1">
      <c r="A467" s="8"/>
    </row>
    <row r="468" spans="1:1">
      <c r="A468" s="8"/>
    </row>
    <row r="469" spans="1:1">
      <c r="A469" s="8"/>
    </row>
    <row r="470" spans="1:1">
      <c r="A470" s="8"/>
    </row>
    <row r="471" spans="1:1">
      <c r="A471" s="8"/>
    </row>
    <row r="472" spans="1:1">
      <c r="A472" s="8"/>
    </row>
    <row r="473" spans="1:1">
      <c r="A473" s="8"/>
    </row>
    <row r="474" spans="1:1">
      <c r="A474" s="8"/>
    </row>
    <row r="475" spans="1:1">
      <c r="A475" s="8"/>
    </row>
    <row r="476" spans="1:1">
      <c r="A476" s="8"/>
    </row>
    <row r="477" spans="1:1">
      <c r="A477" s="8"/>
    </row>
    <row r="478" spans="1:1">
      <c r="A478" s="8"/>
    </row>
    <row r="479" spans="1:1">
      <c r="A479" s="8"/>
    </row>
    <row r="480" spans="1:1">
      <c r="A480" s="8"/>
    </row>
    <row r="481" spans="1:1">
      <c r="A481" s="8"/>
    </row>
    <row r="482" spans="1:1">
      <c r="A482" s="8"/>
    </row>
    <row r="483" spans="1:1">
      <c r="A483" s="8"/>
    </row>
    <row r="484" spans="1:1">
      <c r="A484" s="8"/>
    </row>
    <row r="485" spans="1:1">
      <c r="A485" s="8"/>
    </row>
    <row r="486" spans="1:1">
      <c r="A486" s="8"/>
    </row>
    <row r="487" spans="1:1">
      <c r="A487" s="8"/>
    </row>
    <row r="488" spans="1:1">
      <c r="A488" s="8"/>
    </row>
    <row r="489" spans="1:1">
      <c r="A489" s="8"/>
    </row>
    <row r="490" spans="1:1">
      <c r="A490" s="8"/>
    </row>
    <row r="491" spans="1:1">
      <c r="A491" s="8"/>
    </row>
    <row r="492" spans="1:1">
      <c r="A492" s="8"/>
    </row>
    <row r="493" spans="1:1">
      <c r="A493" s="8"/>
    </row>
    <row r="494" spans="1:1">
      <c r="A494" s="8"/>
    </row>
    <row r="495" spans="1:1">
      <c r="A495" s="8"/>
    </row>
    <row r="496" spans="1:1">
      <c r="A496" s="8"/>
    </row>
    <row r="497" spans="1:1">
      <c r="A497" s="8"/>
    </row>
    <row r="498" spans="1:1">
      <c r="A498" s="8"/>
    </row>
    <row r="499" spans="1:1">
      <c r="A499" s="8"/>
    </row>
    <row r="500" spans="1:1">
      <c r="A500" s="8"/>
    </row>
    <row r="501" spans="1:1">
      <c r="A501" s="8"/>
    </row>
    <row r="502" spans="1:1">
      <c r="A502" s="8"/>
    </row>
    <row r="503" spans="1:1">
      <c r="A503" s="8"/>
    </row>
    <row r="504" spans="1:1">
      <c r="A504" s="8"/>
    </row>
  </sheetData>
  <conditionalFormatting sqref="F2:F504">
    <cfRule type="expression" dxfId="26" priority="1">
      <formula>F2="Cerrada"</formula>
    </cfRule>
    <cfRule type="expression" dxfId="25" priority="2">
      <formula>F2="Pendiente"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500"/>
  <sheetViews>
    <sheetView workbookViewId="0"/>
  </sheetViews>
  <sheetFormatPr baseColWidth="10" defaultColWidth="8.6640625" defaultRowHeight="14"/>
  <cols>
    <col min="1" max="1" width="14" customWidth="1"/>
    <col min="2" max="2" width="24" customWidth="1"/>
    <col min="3" max="3" width="20" customWidth="1"/>
    <col min="4" max="4" width="32" customWidth="1"/>
    <col min="5" max="5" width="44" customWidth="1"/>
    <col min="6" max="6" width="25" customWidth="1"/>
    <col min="7" max="7" width="19" customWidth="1"/>
    <col min="8" max="8" width="16" customWidth="1"/>
    <col min="9" max="9" width="34" customWidth="1"/>
    <col min="10" max="10" width="38" customWidth="1"/>
  </cols>
  <sheetData>
    <row r="1" spans="1:10" ht="15.15" customHeight="1">
      <c r="A1" s="5" t="s">
        <v>0</v>
      </c>
      <c r="B1" s="5" t="s">
        <v>250</v>
      </c>
      <c r="C1" s="5" t="s">
        <v>1</v>
      </c>
      <c r="D1" s="5" t="s">
        <v>196</v>
      </c>
      <c r="E1" s="5" t="s">
        <v>251</v>
      </c>
      <c r="F1" s="5" t="s">
        <v>8</v>
      </c>
      <c r="G1" s="5" t="s">
        <v>161</v>
      </c>
      <c r="H1" s="5" t="s">
        <v>9</v>
      </c>
      <c r="I1" s="5" t="s">
        <v>10</v>
      </c>
      <c r="J1" s="5" t="s">
        <v>114</v>
      </c>
    </row>
    <row r="2" spans="1:10" ht="17.75" customHeight="1">
      <c r="A2" s="7">
        <v>46150</v>
      </c>
      <c r="B2" s="6" t="s">
        <v>72</v>
      </c>
      <c r="C2" s="6" t="s">
        <v>108</v>
      </c>
      <c r="D2" s="6" t="s">
        <v>252</v>
      </c>
      <c r="E2" s="6" t="s">
        <v>253</v>
      </c>
      <c r="F2" s="6" t="s">
        <v>254</v>
      </c>
      <c r="G2" s="7">
        <v>46157</v>
      </c>
      <c r="H2" s="6" t="s">
        <v>13</v>
      </c>
      <c r="I2" s="6" t="s">
        <v>255</v>
      </c>
      <c r="J2" s="6" t="s">
        <v>256</v>
      </c>
    </row>
    <row r="3" spans="1:10" ht="17.75" customHeight="1">
      <c r="A3" s="7">
        <v>46185</v>
      </c>
      <c r="B3" s="6" t="s">
        <v>72</v>
      </c>
      <c r="C3" s="6" t="s">
        <v>11</v>
      </c>
      <c r="D3" s="6" t="s">
        <v>257</v>
      </c>
      <c r="E3" s="6" t="s">
        <v>258</v>
      </c>
      <c r="F3" s="6" t="s">
        <v>259</v>
      </c>
      <c r="G3" s="7">
        <v>46198</v>
      </c>
      <c r="H3" s="6" t="s">
        <v>13</v>
      </c>
      <c r="I3" s="6" t="s">
        <v>260</v>
      </c>
      <c r="J3" s="6" t="s">
        <v>185</v>
      </c>
    </row>
    <row r="4" spans="1:10" ht="17.75" customHeight="1">
      <c r="A4" s="7">
        <v>46213</v>
      </c>
      <c r="B4" s="6" t="s">
        <v>72</v>
      </c>
      <c r="C4" s="6" t="s">
        <v>21</v>
      </c>
      <c r="D4" s="6" t="s">
        <v>261</v>
      </c>
      <c r="E4" s="6" t="s">
        <v>262</v>
      </c>
      <c r="F4" s="6" t="s">
        <v>118</v>
      </c>
      <c r="G4" s="7">
        <v>46221</v>
      </c>
      <c r="H4" s="6" t="s">
        <v>73</v>
      </c>
      <c r="I4" s="6"/>
      <c r="J4" s="6" t="s">
        <v>263</v>
      </c>
    </row>
    <row r="5" spans="1:10" ht="17.75" customHeight="1">
      <c r="A5" s="7">
        <v>46227</v>
      </c>
      <c r="B5" s="6" t="s">
        <v>80</v>
      </c>
      <c r="C5" s="6" t="s">
        <v>16</v>
      </c>
      <c r="D5" s="6" t="s">
        <v>264</v>
      </c>
      <c r="E5" s="6" t="s">
        <v>265</v>
      </c>
      <c r="F5" s="6" t="s">
        <v>49</v>
      </c>
      <c r="G5" s="7">
        <v>46231</v>
      </c>
      <c r="H5" s="6" t="s">
        <v>66</v>
      </c>
      <c r="I5" s="6"/>
      <c r="J5" s="6" t="s">
        <v>266</v>
      </c>
    </row>
    <row r="6" spans="1:10">
      <c r="A6" s="8"/>
      <c r="G6" s="8"/>
    </row>
    <row r="7" spans="1:10">
      <c r="A7" s="8"/>
      <c r="G7" s="8"/>
    </row>
    <row r="8" spans="1:10">
      <c r="A8" s="8"/>
      <c r="G8" s="8"/>
    </row>
    <row r="9" spans="1:10">
      <c r="A9" s="8"/>
      <c r="G9" s="8"/>
    </row>
    <row r="10" spans="1:10">
      <c r="A10" s="8"/>
      <c r="G10" s="8"/>
    </row>
    <row r="11" spans="1:10">
      <c r="A11" s="8"/>
      <c r="G11" s="8"/>
    </row>
    <row r="12" spans="1:10">
      <c r="A12" s="8"/>
      <c r="G12" s="8"/>
    </row>
    <row r="13" spans="1:10">
      <c r="A13" s="8"/>
      <c r="G13" s="8"/>
    </row>
    <row r="14" spans="1:10">
      <c r="A14" s="8"/>
      <c r="G14" s="8"/>
    </row>
    <row r="15" spans="1:10">
      <c r="A15" s="8"/>
      <c r="G15" s="8"/>
    </row>
    <row r="16" spans="1:10">
      <c r="A16" s="8"/>
      <c r="G16" s="8"/>
    </row>
    <row r="17" spans="1:7">
      <c r="A17" s="8"/>
      <c r="G17" s="8"/>
    </row>
    <row r="18" spans="1:7">
      <c r="A18" s="8"/>
      <c r="G18" s="8"/>
    </row>
    <row r="19" spans="1:7">
      <c r="A19" s="8"/>
      <c r="G19" s="8"/>
    </row>
    <row r="20" spans="1:7">
      <c r="A20" s="8"/>
      <c r="G20" s="8"/>
    </row>
    <row r="21" spans="1:7">
      <c r="A21" s="8"/>
      <c r="G21" s="8"/>
    </row>
    <row r="22" spans="1:7">
      <c r="A22" s="8"/>
      <c r="G22" s="8"/>
    </row>
    <row r="23" spans="1:7">
      <c r="A23" s="8"/>
      <c r="G23" s="8"/>
    </row>
    <row r="24" spans="1:7">
      <c r="A24" s="8"/>
      <c r="G24" s="8"/>
    </row>
    <row r="25" spans="1:7">
      <c r="A25" s="8"/>
      <c r="G25" s="8"/>
    </row>
    <row r="26" spans="1:7">
      <c r="A26" s="8"/>
      <c r="G26" s="8"/>
    </row>
    <row r="27" spans="1:7">
      <c r="A27" s="8"/>
      <c r="G27" s="8"/>
    </row>
    <row r="28" spans="1:7">
      <c r="A28" s="8"/>
      <c r="G28" s="8"/>
    </row>
    <row r="29" spans="1:7">
      <c r="A29" s="8"/>
      <c r="G29" s="8"/>
    </row>
    <row r="30" spans="1:7">
      <c r="A30" s="8"/>
      <c r="G30" s="8"/>
    </row>
    <row r="31" spans="1:7">
      <c r="A31" s="8"/>
      <c r="G31" s="8"/>
    </row>
    <row r="32" spans="1:7">
      <c r="A32" s="8"/>
      <c r="G32" s="8"/>
    </row>
    <row r="33" spans="1:7">
      <c r="A33" s="8"/>
      <c r="G33" s="8"/>
    </row>
    <row r="34" spans="1:7">
      <c r="A34" s="8"/>
      <c r="G34" s="8"/>
    </row>
    <row r="35" spans="1:7">
      <c r="A35" s="8"/>
      <c r="G35" s="8"/>
    </row>
    <row r="36" spans="1:7">
      <c r="A36" s="8"/>
      <c r="G36" s="8"/>
    </row>
    <row r="37" spans="1:7">
      <c r="A37" s="8"/>
      <c r="G37" s="8"/>
    </row>
    <row r="38" spans="1:7">
      <c r="A38" s="8"/>
      <c r="G38" s="8"/>
    </row>
    <row r="39" spans="1:7">
      <c r="A39" s="8"/>
      <c r="G39" s="8"/>
    </row>
    <row r="40" spans="1:7">
      <c r="A40" s="8"/>
      <c r="G40" s="8"/>
    </row>
    <row r="41" spans="1:7">
      <c r="A41" s="8"/>
      <c r="G41" s="8"/>
    </row>
    <row r="42" spans="1:7">
      <c r="A42" s="8"/>
      <c r="G42" s="8"/>
    </row>
    <row r="43" spans="1:7">
      <c r="A43" s="8"/>
      <c r="G43" s="8"/>
    </row>
    <row r="44" spans="1:7">
      <c r="A44" s="8"/>
      <c r="G44" s="8"/>
    </row>
    <row r="45" spans="1:7">
      <c r="A45" s="8"/>
      <c r="G45" s="8"/>
    </row>
    <row r="46" spans="1:7">
      <c r="A46" s="8"/>
      <c r="G46" s="8"/>
    </row>
    <row r="47" spans="1:7">
      <c r="A47" s="8"/>
      <c r="G47" s="8"/>
    </row>
    <row r="48" spans="1:7">
      <c r="A48" s="8"/>
      <c r="G48" s="8"/>
    </row>
    <row r="49" spans="1:7">
      <c r="A49" s="8"/>
      <c r="G49" s="8"/>
    </row>
    <row r="50" spans="1:7">
      <c r="A50" s="8"/>
      <c r="G50" s="8"/>
    </row>
    <row r="51" spans="1:7">
      <c r="A51" s="8"/>
      <c r="G51" s="8"/>
    </row>
    <row r="52" spans="1:7">
      <c r="A52" s="8"/>
      <c r="G52" s="8"/>
    </row>
    <row r="53" spans="1:7">
      <c r="A53" s="8"/>
      <c r="G53" s="8"/>
    </row>
    <row r="54" spans="1:7">
      <c r="A54" s="8"/>
      <c r="G54" s="8"/>
    </row>
    <row r="55" spans="1:7">
      <c r="A55" s="8"/>
      <c r="G55" s="8"/>
    </row>
    <row r="56" spans="1:7">
      <c r="A56" s="8"/>
      <c r="G56" s="8"/>
    </row>
    <row r="57" spans="1:7">
      <c r="A57" s="8"/>
      <c r="G57" s="8"/>
    </row>
    <row r="58" spans="1:7">
      <c r="A58" s="8"/>
      <c r="G58" s="8"/>
    </row>
    <row r="59" spans="1:7">
      <c r="A59" s="8"/>
      <c r="G59" s="8"/>
    </row>
    <row r="60" spans="1:7">
      <c r="A60" s="8"/>
      <c r="G60" s="8"/>
    </row>
    <row r="61" spans="1:7">
      <c r="A61" s="8"/>
      <c r="G61" s="8"/>
    </row>
    <row r="62" spans="1:7">
      <c r="A62" s="8"/>
      <c r="G62" s="8"/>
    </row>
    <row r="63" spans="1:7">
      <c r="A63" s="8"/>
      <c r="G63" s="8"/>
    </row>
    <row r="64" spans="1:7">
      <c r="A64" s="8"/>
      <c r="G64" s="8"/>
    </row>
    <row r="65" spans="1:7">
      <c r="A65" s="8"/>
      <c r="G65" s="8"/>
    </row>
    <row r="66" spans="1:7">
      <c r="A66" s="8"/>
      <c r="G66" s="8"/>
    </row>
    <row r="67" spans="1:7">
      <c r="A67" s="8"/>
      <c r="G67" s="8"/>
    </row>
    <row r="68" spans="1:7">
      <c r="A68" s="8"/>
      <c r="G68" s="8"/>
    </row>
    <row r="69" spans="1:7">
      <c r="A69" s="8"/>
      <c r="G69" s="8"/>
    </row>
    <row r="70" spans="1:7">
      <c r="A70" s="8"/>
      <c r="G70" s="8"/>
    </row>
    <row r="71" spans="1:7">
      <c r="A71" s="8"/>
      <c r="G71" s="8"/>
    </row>
    <row r="72" spans="1:7">
      <c r="A72" s="8"/>
      <c r="G72" s="8"/>
    </row>
    <row r="73" spans="1:7">
      <c r="A73" s="8"/>
      <c r="G73" s="8"/>
    </row>
    <row r="74" spans="1:7">
      <c r="A74" s="8"/>
      <c r="G74" s="8"/>
    </row>
    <row r="75" spans="1:7">
      <c r="A75" s="8"/>
      <c r="G75" s="8"/>
    </row>
    <row r="76" spans="1:7">
      <c r="A76" s="8"/>
      <c r="G76" s="8"/>
    </row>
    <row r="77" spans="1:7">
      <c r="A77" s="8"/>
      <c r="G77" s="8"/>
    </row>
    <row r="78" spans="1:7">
      <c r="A78" s="8"/>
      <c r="G78" s="8"/>
    </row>
    <row r="79" spans="1:7">
      <c r="A79" s="8"/>
      <c r="G79" s="8"/>
    </row>
    <row r="80" spans="1:7">
      <c r="A80" s="8"/>
      <c r="G80" s="8"/>
    </row>
    <row r="81" spans="1:7">
      <c r="A81" s="8"/>
      <c r="G81" s="8"/>
    </row>
    <row r="82" spans="1:7">
      <c r="A82" s="8"/>
      <c r="G82" s="8"/>
    </row>
    <row r="83" spans="1:7">
      <c r="A83" s="8"/>
      <c r="G83" s="8"/>
    </row>
    <row r="84" spans="1:7">
      <c r="A84" s="8"/>
      <c r="G84" s="8"/>
    </row>
    <row r="85" spans="1:7">
      <c r="A85" s="8"/>
      <c r="G85" s="8"/>
    </row>
    <row r="86" spans="1:7">
      <c r="A86" s="8"/>
      <c r="G86" s="8"/>
    </row>
    <row r="87" spans="1:7">
      <c r="A87" s="8"/>
      <c r="G87" s="8"/>
    </row>
    <row r="88" spans="1:7">
      <c r="A88" s="8"/>
      <c r="G88" s="8"/>
    </row>
    <row r="89" spans="1:7">
      <c r="A89" s="8"/>
      <c r="G89" s="8"/>
    </row>
    <row r="90" spans="1:7">
      <c r="A90" s="8"/>
      <c r="G90" s="8"/>
    </row>
    <row r="91" spans="1:7">
      <c r="A91" s="8"/>
      <c r="G91" s="8"/>
    </row>
    <row r="92" spans="1:7">
      <c r="A92" s="8"/>
      <c r="G92" s="8"/>
    </row>
    <row r="93" spans="1:7">
      <c r="A93" s="8"/>
      <c r="G93" s="8"/>
    </row>
    <row r="94" spans="1:7">
      <c r="A94" s="8"/>
      <c r="G94" s="8"/>
    </row>
    <row r="95" spans="1:7">
      <c r="A95" s="8"/>
      <c r="G95" s="8"/>
    </row>
    <row r="96" spans="1:7">
      <c r="A96" s="8"/>
      <c r="G96" s="8"/>
    </row>
    <row r="97" spans="1:7">
      <c r="A97" s="8"/>
      <c r="G97" s="8"/>
    </row>
    <row r="98" spans="1:7">
      <c r="A98" s="8"/>
      <c r="G98" s="8"/>
    </row>
    <row r="99" spans="1:7">
      <c r="A99" s="8"/>
      <c r="G99" s="8"/>
    </row>
    <row r="100" spans="1:7">
      <c r="A100" s="8"/>
      <c r="G100" s="8"/>
    </row>
    <row r="101" spans="1:7">
      <c r="A101" s="8"/>
      <c r="G101" s="8"/>
    </row>
    <row r="102" spans="1:7">
      <c r="A102" s="8"/>
      <c r="G102" s="8"/>
    </row>
    <row r="103" spans="1:7">
      <c r="A103" s="8"/>
      <c r="G103" s="8"/>
    </row>
    <row r="104" spans="1:7">
      <c r="A104" s="8"/>
      <c r="G104" s="8"/>
    </row>
    <row r="105" spans="1:7">
      <c r="A105" s="8"/>
      <c r="G105" s="8"/>
    </row>
    <row r="106" spans="1:7">
      <c r="A106" s="8"/>
      <c r="G106" s="8"/>
    </row>
    <row r="107" spans="1:7">
      <c r="A107" s="8"/>
      <c r="G107" s="8"/>
    </row>
    <row r="108" spans="1:7">
      <c r="A108" s="8"/>
      <c r="G108" s="8"/>
    </row>
    <row r="109" spans="1:7">
      <c r="A109" s="8"/>
      <c r="G109" s="8"/>
    </row>
    <row r="110" spans="1:7">
      <c r="A110" s="8"/>
      <c r="G110" s="8"/>
    </row>
    <row r="111" spans="1:7">
      <c r="A111" s="8"/>
      <c r="G111" s="8"/>
    </row>
    <row r="112" spans="1:7">
      <c r="A112" s="8"/>
      <c r="G112" s="8"/>
    </row>
    <row r="113" spans="1:7">
      <c r="A113" s="8"/>
      <c r="G113" s="8"/>
    </row>
    <row r="114" spans="1:7">
      <c r="A114" s="8"/>
      <c r="G114" s="8"/>
    </row>
    <row r="115" spans="1:7">
      <c r="A115" s="8"/>
      <c r="G115" s="8"/>
    </row>
    <row r="116" spans="1:7">
      <c r="A116" s="8"/>
      <c r="G116" s="8"/>
    </row>
    <row r="117" spans="1:7">
      <c r="A117" s="8"/>
      <c r="G117" s="8"/>
    </row>
    <row r="118" spans="1:7">
      <c r="A118" s="8"/>
      <c r="G118" s="8"/>
    </row>
    <row r="119" spans="1:7">
      <c r="A119" s="8"/>
      <c r="G119" s="8"/>
    </row>
    <row r="120" spans="1:7">
      <c r="A120" s="8"/>
      <c r="G120" s="8"/>
    </row>
    <row r="121" spans="1:7">
      <c r="A121" s="8"/>
      <c r="G121" s="8"/>
    </row>
    <row r="122" spans="1:7">
      <c r="A122" s="8"/>
      <c r="G122" s="8"/>
    </row>
    <row r="123" spans="1:7">
      <c r="A123" s="8"/>
      <c r="G123" s="8"/>
    </row>
    <row r="124" spans="1:7">
      <c r="A124" s="8"/>
      <c r="G124" s="8"/>
    </row>
    <row r="125" spans="1:7">
      <c r="A125" s="8"/>
      <c r="G125" s="8"/>
    </row>
    <row r="126" spans="1:7">
      <c r="A126" s="8"/>
      <c r="G126" s="8"/>
    </row>
    <row r="127" spans="1:7">
      <c r="A127" s="8"/>
      <c r="G127" s="8"/>
    </row>
    <row r="128" spans="1:7">
      <c r="A128" s="8"/>
      <c r="G128" s="8"/>
    </row>
    <row r="129" spans="1:7">
      <c r="A129" s="8"/>
      <c r="G129" s="8"/>
    </row>
    <row r="130" spans="1:7">
      <c r="A130" s="8"/>
      <c r="G130" s="8"/>
    </row>
    <row r="131" spans="1:7">
      <c r="A131" s="8"/>
      <c r="G131" s="8"/>
    </row>
    <row r="132" spans="1:7">
      <c r="A132" s="8"/>
      <c r="G132" s="8"/>
    </row>
    <row r="133" spans="1:7">
      <c r="A133" s="8"/>
      <c r="G133" s="8"/>
    </row>
    <row r="134" spans="1:7">
      <c r="A134" s="8"/>
      <c r="G134" s="8"/>
    </row>
    <row r="135" spans="1:7">
      <c r="A135" s="8"/>
      <c r="G135" s="8"/>
    </row>
    <row r="136" spans="1:7">
      <c r="A136" s="8"/>
      <c r="G136" s="8"/>
    </row>
    <row r="137" spans="1:7">
      <c r="A137" s="8"/>
      <c r="G137" s="8"/>
    </row>
    <row r="138" spans="1:7">
      <c r="A138" s="8"/>
      <c r="G138" s="8"/>
    </row>
    <row r="139" spans="1:7">
      <c r="A139" s="8"/>
      <c r="G139" s="8"/>
    </row>
    <row r="140" spans="1:7">
      <c r="A140" s="8"/>
      <c r="G140" s="8"/>
    </row>
    <row r="141" spans="1:7">
      <c r="A141" s="8"/>
      <c r="G141" s="8"/>
    </row>
    <row r="142" spans="1:7">
      <c r="A142" s="8"/>
      <c r="G142" s="8"/>
    </row>
    <row r="143" spans="1:7">
      <c r="A143" s="8"/>
      <c r="G143" s="8"/>
    </row>
    <row r="144" spans="1:7">
      <c r="A144" s="8"/>
      <c r="G144" s="8"/>
    </row>
    <row r="145" spans="1:7">
      <c r="A145" s="8"/>
      <c r="G145" s="8"/>
    </row>
    <row r="146" spans="1:7">
      <c r="A146" s="8"/>
      <c r="G146" s="8"/>
    </row>
    <row r="147" spans="1:7">
      <c r="A147" s="8"/>
      <c r="G147" s="8"/>
    </row>
    <row r="148" spans="1:7">
      <c r="A148" s="8"/>
      <c r="G148" s="8"/>
    </row>
    <row r="149" spans="1:7">
      <c r="A149" s="8"/>
      <c r="G149" s="8"/>
    </row>
    <row r="150" spans="1:7">
      <c r="A150" s="8"/>
      <c r="G150" s="8"/>
    </row>
    <row r="151" spans="1:7">
      <c r="A151" s="8"/>
      <c r="G151" s="8"/>
    </row>
    <row r="152" spans="1:7">
      <c r="A152" s="8"/>
      <c r="G152" s="8"/>
    </row>
    <row r="153" spans="1:7">
      <c r="A153" s="8"/>
      <c r="G153" s="8"/>
    </row>
    <row r="154" spans="1:7">
      <c r="A154" s="8"/>
      <c r="G154" s="8"/>
    </row>
    <row r="155" spans="1:7">
      <c r="A155" s="8"/>
      <c r="G155" s="8"/>
    </row>
    <row r="156" spans="1:7">
      <c r="A156" s="8"/>
      <c r="G156" s="8"/>
    </row>
    <row r="157" spans="1:7">
      <c r="A157" s="8"/>
      <c r="G157" s="8"/>
    </row>
    <row r="158" spans="1:7">
      <c r="A158" s="8"/>
      <c r="G158" s="8"/>
    </row>
    <row r="159" spans="1:7">
      <c r="A159" s="8"/>
      <c r="G159" s="8"/>
    </row>
    <row r="160" spans="1:7">
      <c r="A160" s="8"/>
      <c r="G160" s="8"/>
    </row>
    <row r="161" spans="1:7">
      <c r="A161" s="8"/>
      <c r="G161" s="8"/>
    </row>
    <row r="162" spans="1:7">
      <c r="A162" s="8"/>
      <c r="G162" s="8"/>
    </row>
    <row r="163" spans="1:7">
      <c r="A163" s="8"/>
      <c r="G163" s="8"/>
    </row>
    <row r="164" spans="1:7">
      <c r="A164" s="8"/>
      <c r="G164" s="8"/>
    </row>
    <row r="165" spans="1:7">
      <c r="A165" s="8"/>
      <c r="G165" s="8"/>
    </row>
    <row r="166" spans="1:7">
      <c r="A166" s="8"/>
      <c r="G166" s="8"/>
    </row>
    <row r="167" spans="1:7">
      <c r="A167" s="8"/>
      <c r="G167" s="8"/>
    </row>
    <row r="168" spans="1:7">
      <c r="A168" s="8"/>
      <c r="G168" s="8"/>
    </row>
    <row r="169" spans="1:7">
      <c r="A169" s="8"/>
      <c r="G169" s="8"/>
    </row>
    <row r="170" spans="1:7">
      <c r="A170" s="8"/>
      <c r="G170" s="8"/>
    </row>
    <row r="171" spans="1:7">
      <c r="A171" s="8"/>
      <c r="G171" s="8"/>
    </row>
    <row r="172" spans="1:7">
      <c r="A172" s="8"/>
      <c r="G172" s="8"/>
    </row>
    <row r="173" spans="1:7">
      <c r="A173" s="8"/>
      <c r="G173" s="8"/>
    </row>
    <row r="174" spans="1:7">
      <c r="A174" s="8"/>
      <c r="G174" s="8"/>
    </row>
    <row r="175" spans="1:7">
      <c r="A175" s="8"/>
      <c r="G175" s="8"/>
    </row>
    <row r="176" spans="1:7">
      <c r="A176" s="8"/>
      <c r="G176" s="8"/>
    </row>
    <row r="177" spans="1:7">
      <c r="A177" s="8"/>
      <c r="G177" s="8"/>
    </row>
    <row r="178" spans="1:7">
      <c r="A178" s="8"/>
      <c r="G178" s="8"/>
    </row>
    <row r="179" spans="1:7">
      <c r="A179" s="8"/>
      <c r="G179" s="8"/>
    </row>
    <row r="180" spans="1:7">
      <c r="A180" s="8"/>
      <c r="G180" s="8"/>
    </row>
    <row r="181" spans="1:7">
      <c r="A181" s="8"/>
      <c r="G181" s="8"/>
    </row>
    <row r="182" spans="1:7">
      <c r="A182" s="8"/>
      <c r="G182" s="8"/>
    </row>
    <row r="183" spans="1:7">
      <c r="A183" s="8"/>
      <c r="G183" s="8"/>
    </row>
    <row r="184" spans="1:7">
      <c r="A184" s="8"/>
      <c r="G184" s="8"/>
    </row>
    <row r="185" spans="1:7">
      <c r="A185" s="8"/>
      <c r="G185" s="8"/>
    </row>
    <row r="186" spans="1:7">
      <c r="A186" s="8"/>
      <c r="G186" s="8"/>
    </row>
    <row r="187" spans="1:7">
      <c r="A187" s="8"/>
      <c r="G187" s="8"/>
    </row>
    <row r="188" spans="1:7">
      <c r="A188" s="8"/>
      <c r="G188" s="8"/>
    </row>
    <row r="189" spans="1:7">
      <c r="A189" s="8"/>
      <c r="G189" s="8"/>
    </row>
    <row r="190" spans="1:7">
      <c r="A190" s="8"/>
      <c r="G190" s="8"/>
    </row>
    <row r="191" spans="1:7">
      <c r="A191" s="8"/>
      <c r="G191" s="8"/>
    </row>
    <row r="192" spans="1:7">
      <c r="A192" s="8"/>
      <c r="G192" s="8"/>
    </row>
    <row r="193" spans="1:7">
      <c r="A193" s="8"/>
      <c r="G193" s="8"/>
    </row>
    <row r="194" spans="1:7">
      <c r="A194" s="8"/>
      <c r="G194" s="8"/>
    </row>
    <row r="195" spans="1:7">
      <c r="A195" s="8"/>
      <c r="G195" s="8"/>
    </row>
    <row r="196" spans="1:7">
      <c r="A196" s="8"/>
      <c r="G196" s="8"/>
    </row>
    <row r="197" spans="1:7">
      <c r="A197" s="8"/>
      <c r="G197" s="8"/>
    </row>
    <row r="198" spans="1:7">
      <c r="A198" s="8"/>
      <c r="G198" s="8"/>
    </row>
    <row r="199" spans="1:7">
      <c r="A199" s="8"/>
      <c r="G199" s="8"/>
    </row>
    <row r="200" spans="1:7">
      <c r="A200" s="8"/>
      <c r="G200" s="8"/>
    </row>
    <row r="201" spans="1:7">
      <c r="A201" s="8"/>
      <c r="G201" s="8"/>
    </row>
    <row r="202" spans="1:7">
      <c r="A202" s="8"/>
      <c r="G202" s="8"/>
    </row>
    <row r="203" spans="1:7">
      <c r="A203" s="8"/>
      <c r="G203" s="8"/>
    </row>
    <row r="204" spans="1:7">
      <c r="A204" s="8"/>
      <c r="G204" s="8"/>
    </row>
    <row r="205" spans="1:7">
      <c r="A205" s="8"/>
      <c r="G205" s="8"/>
    </row>
    <row r="206" spans="1:7">
      <c r="A206" s="8"/>
      <c r="G206" s="8"/>
    </row>
    <row r="207" spans="1:7">
      <c r="A207" s="8"/>
      <c r="G207" s="8"/>
    </row>
    <row r="208" spans="1:7">
      <c r="A208" s="8"/>
      <c r="G208" s="8"/>
    </row>
    <row r="209" spans="1:7">
      <c r="A209" s="8"/>
      <c r="G209" s="8"/>
    </row>
    <row r="210" spans="1:7">
      <c r="A210" s="8"/>
      <c r="G210" s="8"/>
    </row>
    <row r="211" spans="1:7">
      <c r="A211" s="8"/>
      <c r="G211" s="8"/>
    </row>
    <row r="212" spans="1:7">
      <c r="A212" s="8"/>
      <c r="G212" s="8"/>
    </row>
    <row r="213" spans="1:7">
      <c r="A213" s="8"/>
      <c r="G213" s="8"/>
    </row>
    <row r="214" spans="1:7">
      <c r="A214" s="8"/>
      <c r="G214" s="8"/>
    </row>
    <row r="215" spans="1:7">
      <c r="A215" s="8"/>
      <c r="G215" s="8"/>
    </row>
    <row r="216" spans="1:7">
      <c r="A216" s="8"/>
      <c r="G216" s="8"/>
    </row>
    <row r="217" spans="1:7">
      <c r="A217" s="8"/>
      <c r="G217" s="8"/>
    </row>
    <row r="218" spans="1:7">
      <c r="A218" s="8"/>
      <c r="G218" s="8"/>
    </row>
    <row r="219" spans="1:7">
      <c r="A219" s="8"/>
      <c r="G219" s="8"/>
    </row>
    <row r="220" spans="1:7">
      <c r="A220" s="8"/>
      <c r="G220" s="8"/>
    </row>
    <row r="221" spans="1:7">
      <c r="A221" s="8"/>
      <c r="G221" s="8"/>
    </row>
    <row r="222" spans="1:7">
      <c r="A222" s="8"/>
      <c r="G222" s="8"/>
    </row>
    <row r="223" spans="1:7">
      <c r="A223" s="8"/>
      <c r="G223" s="8"/>
    </row>
    <row r="224" spans="1:7">
      <c r="A224" s="8"/>
      <c r="G224" s="8"/>
    </row>
    <row r="225" spans="1:7">
      <c r="A225" s="8"/>
      <c r="G225" s="8"/>
    </row>
    <row r="226" spans="1:7">
      <c r="A226" s="8"/>
      <c r="G226" s="8"/>
    </row>
    <row r="227" spans="1:7">
      <c r="A227" s="8"/>
      <c r="G227" s="8"/>
    </row>
    <row r="228" spans="1:7">
      <c r="A228" s="8"/>
      <c r="G228" s="8"/>
    </row>
    <row r="229" spans="1:7">
      <c r="A229" s="8"/>
      <c r="G229" s="8"/>
    </row>
    <row r="230" spans="1:7">
      <c r="A230" s="8"/>
      <c r="G230" s="8"/>
    </row>
    <row r="231" spans="1:7">
      <c r="A231" s="8"/>
      <c r="G231" s="8"/>
    </row>
    <row r="232" spans="1:7">
      <c r="A232" s="8"/>
      <c r="G232" s="8"/>
    </row>
    <row r="233" spans="1:7">
      <c r="A233" s="8"/>
      <c r="G233" s="8"/>
    </row>
    <row r="234" spans="1:7">
      <c r="A234" s="8"/>
      <c r="G234" s="8"/>
    </row>
    <row r="235" spans="1:7">
      <c r="A235" s="8"/>
      <c r="G235" s="8"/>
    </row>
    <row r="236" spans="1:7">
      <c r="A236" s="8"/>
      <c r="G236" s="8"/>
    </row>
    <row r="237" spans="1:7">
      <c r="A237" s="8"/>
      <c r="G237" s="8"/>
    </row>
    <row r="238" spans="1:7">
      <c r="A238" s="8"/>
      <c r="G238" s="8"/>
    </row>
    <row r="239" spans="1:7">
      <c r="A239" s="8"/>
      <c r="G239" s="8"/>
    </row>
    <row r="240" spans="1:7">
      <c r="A240" s="8"/>
      <c r="G240" s="8"/>
    </row>
    <row r="241" spans="1:7">
      <c r="A241" s="8"/>
      <c r="G241" s="8"/>
    </row>
    <row r="242" spans="1:7">
      <c r="A242" s="8"/>
      <c r="G242" s="8"/>
    </row>
    <row r="243" spans="1:7">
      <c r="A243" s="8"/>
      <c r="G243" s="8"/>
    </row>
    <row r="244" spans="1:7">
      <c r="A244" s="8"/>
      <c r="G244" s="8"/>
    </row>
    <row r="245" spans="1:7">
      <c r="A245" s="8"/>
      <c r="G245" s="8"/>
    </row>
    <row r="246" spans="1:7">
      <c r="A246" s="8"/>
      <c r="G246" s="8"/>
    </row>
    <row r="247" spans="1:7">
      <c r="A247" s="8"/>
      <c r="G247" s="8"/>
    </row>
    <row r="248" spans="1:7">
      <c r="A248" s="8"/>
      <c r="G248" s="8"/>
    </row>
    <row r="249" spans="1:7">
      <c r="A249" s="8"/>
      <c r="G249" s="8"/>
    </row>
    <row r="250" spans="1:7">
      <c r="A250" s="8"/>
      <c r="G250" s="8"/>
    </row>
    <row r="251" spans="1:7">
      <c r="A251" s="8"/>
      <c r="G251" s="8"/>
    </row>
    <row r="252" spans="1:7">
      <c r="A252" s="8"/>
      <c r="G252" s="8"/>
    </row>
    <row r="253" spans="1:7">
      <c r="A253" s="8"/>
      <c r="G253" s="8"/>
    </row>
    <row r="254" spans="1:7">
      <c r="A254" s="8"/>
      <c r="G254" s="8"/>
    </row>
    <row r="255" spans="1:7">
      <c r="A255" s="8"/>
      <c r="G255" s="8"/>
    </row>
    <row r="256" spans="1:7">
      <c r="A256" s="8"/>
      <c r="G256" s="8"/>
    </row>
    <row r="257" spans="1:7">
      <c r="A257" s="8"/>
      <c r="G257" s="8"/>
    </row>
    <row r="258" spans="1:7">
      <c r="A258" s="8"/>
      <c r="G258" s="8"/>
    </row>
    <row r="259" spans="1:7">
      <c r="A259" s="8"/>
      <c r="G259" s="8"/>
    </row>
    <row r="260" spans="1:7">
      <c r="A260" s="8"/>
      <c r="G260" s="8"/>
    </row>
    <row r="261" spans="1:7">
      <c r="A261" s="8"/>
      <c r="G261" s="8"/>
    </row>
    <row r="262" spans="1:7">
      <c r="A262" s="8"/>
      <c r="G262" s="8"/>
    </row>
    <row r="263" spans="1:7">
      <c r="A263" s="8"/>
      <c r="G263" s="8"/>
    </row>
    <row r="264" spans="1:7">
      <c r="A264" s="8"/>
      <c r="G264" s="8"/>
    </row>
    <row r="265" spans="1:7">
      <c r="A265" s="8"/>
      <c r="G265" s="8"/>
    </row>
    <row r="266" spans="1:7">
      <c r="A266" s="8"/>
      <c r="G266" s="8"/>
    </row>
    <row r="267" spans="1:7">
      <c r="A267" s="8"/>
      <c r="G267" s="8"/>
    </row>
    <row r="268" spans="1:7">
      <c r="A268" s="8"/>
      <c r="G268" s="8"/>
    </row>
    <row r="269" spans="1:7">
      <c r="A269" s="8"/>
      <c r="G269" s="8"/>
    </row>
    <row r="270" spans="1:7">
      <c r="A270" s="8"/>
      <c r="G270" s="8"/>
    </row>
    <row r="271" spans="1:7">
      <c r="A271" s="8"/>
      <c r="G271" s="8"/>
    </row>
    <row r="272" spans="1:7">
      <c r="A272" s="8"/>
      <c r="G272" s="8"/>
    </row>
    <row r="273" spans="1:7">
      <c r="A273" s="8"/>
      <c r="G273" s="8"/>
    </row>
    <row r="274" spans="1:7">
      <c r="A274" s="8"/>
      <c r="G274" s="8"/>
    </row>
    <row r="275" spans="1:7">
      <c r="A275" s="8"/>
      <c r="G275" s="8"/>
    </row>
    <row r="276" spans="1:7">
      <c r="A276" s="8"/>
      <c r="G276" s="8"/>
    </row>
    <row r="277" spans="1:7">
      <c r="A277" s="8"/>
      <c r="G277" s="8"/>
    </row>
    <row r="278" spans="1:7">
      <c r="A278" s="8"/>
      <c r="G278" s="8"/>
    </row>
    <row r="279" spans="1:7">
      <c r="A279" s="8"/>
      <c r="G279" s="8"/>
    </row>
    <row r="280" spans="1:7">
      <c r="A280" s="8"/>
      <c r="G280" s="8"/>
    </row>
    <row r="281" spans="1:7">
      <c r="A281" s="8"/>
      <c r="G281" s="8"/>
    </row>
    <row r="282" spans="1:7">
      <c r="A282" s="8"/>
      <c r="G282" s="8"/>
    </row>
    <row r="283" spans="1:7">
      <c r="A283" s="8"/>
      <c r="G283" s="8"/>
    </row>
    <row r="284" spans="1:7">
      <c r="A284" s="8"/>
      <c r="G284" s="8"/>
    </row>
    <row r="285" spans="1:7">
      <c r="A285" s="8"/>
      <c r="G285" s="8"/>
    </row>
    <row r="286" spans="1:7">
      <c r="A286" s="8"/>
      <c r="G286" s="8"/>
    </row>
    <row r="287" spans="1:7">
      <c r="A287" s="8"/>
      <c r="G287" s="8"/>
    </row>
    <row r="288" spans="1:7">
      <c r="A288" s="8"/>
      <c r="G288" s="8"/>
    </row>
    <row r="289" spans="1:7">
      <c r="A289" s="8"/>
      <c r="G289" s="8"/>
    </row>
    <row r="290" spans="1:7">
      <c r="A290" s="8"/>
      <c r="G290" s="8"/>
    </row>
    <row r="291" spans="1:7">
      <c r="A291" s="8"/>
      <c r="G291" s="8"/>
    </row>
    <row r="292" spans="1:7">
      <c r="A292" s="8"/>
      <c r="G292" s="8"/>
    </row>
    <row r="293" spans="1:7">
      <c r="A293" s="8"/>
      <c r="G293" s="8"/>
    </row>
    <row r="294" spans="1:7">
      <c r="A294" s="8"/>
      <c r="G294" s="8"/>
    </row>
    <row r="295" spans="1:7">
      <c r="A295" s="8"/>
      <c r="G295" s="8"/>
    </row>
    <row r="296" spans="1:7">
      <c r="A296" s="8"/>
      <c r="G296" s="8"/>
    </row>
    <row r="297" spans="1:7">
      <c r="A297" s="8"/>
      <c r="G297" s="8"/>
    </row>
    <row r="298" spans="1:7">
      <c r="A298" s="8"/>
      <c r="G298" s="8"/>
    </row>
    <row r="299" spans="1:7">
      <c r="A299" s="8"/>
      <c r="G299" s="8"/>
    </row>
    <row r="300" spans="1:7">
      <c r="A300" s="8"/>
      <c r="G300" s="8"/>
    </row>
    <row r="301" spans="1:7">
      <c r="A301" s="8"/>
      <c r="G301" s="8"/>
    </row>
    <row r="302" spans="1:7">
      <c r="A302" s="8"/>
      <c r="G302" s="8"/>
    </row>
    <row r="303" spans="1:7">
      <c r="A303" s="8"/>
      <c r="G303" s="8"/>
    </row>
    <row r="304" spans="1:7">
      <c r="A304" s="8"/>
      <c r="G304" s="8"/>
    </row>
    <row r="305" spans="1:7">
      <c r="A305" s="8"/>
      <c r="G305" s="8"/>
    </row>
    <row r="306" spans="1:7">
      <c r="A306" s="8"/>
      <c r="G306" s="8"/>
    </row>
    <row r="307" spans="1:7">
      <c r="A307" s="8"/>
      <c r="G307" s="8"/>
    </row>
    <row r="308" spans="1:7">
      <c r="A308" s="8"/>
      <c r="G308" s="8"/>
    </row>
    <row r="309" spans="1:7">
      <c r="A309" s="8"/>
      <c r="G309" s="8"/>
    </row>
    <row r="310" spans="1:7">
      <c r="A310" s="8"/>
      <c r="G310" s="8"/>
    </row>
    <row r="311" spans="1:7">
      <c r="A311" s="8"/>
      <c r="G311" s="8"/>
    </row>
    <row r="312" spans="1:7">
      <c r="A312" s="8"/>
      <c r="G312" s="8"/>
    </row>
    <row r="313" spans="1:7">
      <c r="A313" s="8"/>
      <c r="G313" s="8"/>
    </row>
    <row r="314" spans="1:7">
      <c r="A314" s="8"/>
      <c r="G314" s="8"/>
    </row>
    <row r="315" spans="1:7">
      <c r="A315" s="8"/>
      <c r="G315" s="8"/>
    </row>
    <row r="316" spans="1:7">
      <c r="A316" s="8"/>
      <c r="G316" s="8"/>
    </row>
    <row r="317" spans="1:7">
      <c r="A317" s="8"/>
      <c r="G317" s="8"/>
    </row>
    <row r="318" spans="1:7">
      <c r="A318" s="8"/>
      <c r="G318" s="8"/>
    </row>
    <row r="319" spans="1:7">
      <c r="A319" s="8"/>
      <c r="G319" s="8"/>
    </row>
    <row r="320" spans="1:7">
      <c r="A320" s="8"/>
      <c r="G320" s="8"/>
    </row>
    <row r="321" spans="1:7">
      <c r="A321" s="8"/>
      <c r="G321" s="8"/>
    </row>
    <row r="322" spans="1:7">
      <c r="A322" s="8"/>
      <c r="G322" s="8"/>
    </row>
    <row r="323" spans="1:7">
      <c r="A323" s="8"/>
      <c r="G323" s="8"/>
    </row>
    <row r="324" spans="1:7">
      <c r="A324" s="8"/>
      <c r="G324" s="8"/>
    </row>
    <row r="325" spans="1:7">
      <c r="A325" s="8"/>
      <c r="G325" s="8"/>
    </row>
    <row r="326" spans="1:7">
      <c r="A326" s="8"/>
      <c r="G326" s="8"/>
    </row>
    <row r="327" spans="1:7">
      <c r="A327" s="8"/>
      <c r="G327" s="8"/>
    </row>
    <row r="328" spans="1:7">
      <c r="A328" s="8"/>
      <c r="G328" s="8"/>
    </row>
    <row r="329" spans="1:7">
      <c r="A329" s="8"/>
      <c r="G329" s="8"/>
    </row>
    <row r="330" spans="1:7">
      <c r="A330" s="8"/>
      <c r="G330" s="8"/>
    </row>
    <row r="331" spans="1:7">
      <c r="A331" s="8"/>
      <c r="G331" s="8"/>
    </row>
    <row r="332" spans="1:7">
      <c r="A332" s="8"/>
      <c r="G332" s="8"/>
    </row>
    <row r="333" spans="1:7">
      <c r="A333" s="8"/>
      <c r="G333" s="8"/>
    </row>
    <row r="334" spans="1:7">
      <c r="A334" s="8"/>
      <c r="G334" s="8"/>
    </row>
    <row r="335" spans="1:7">
      <c r="A335" s="8"/>
      <c r="G335" s="8"/>
    </row>
    <row r="336" spans="1:7">
      <c r="A336" s="8"/>
      <c r="G336" s="8"/>
    </row>
    <row r="337" spans="1:7">
      <c r="A337" s="8"/>
      <c r="G337" s="8"/>
    </row>
    <row r="338" spans="1:7">
      <c r="A338" s="8"/>
      <c r="G338" s="8"/>
    </row>
    <row r="339" spans="1:7">
      <c r="A339" s="8"/>
      <c r="G339" s="8"/>
    </row>
    <row r="340" spans="1:7">
      <c r="A340" s="8"/>
      <c r="G340" s="8"/>
    </row>
    <row r="341" spans="1:7">
      <c r="A341" s="8"/>
      <c r="G341" s="8"/>
    </row>
    <row r="342" spans="1:7">
      <c r="A342" s="8"/>
      <c r="G342" s="8"/>
    </row>
    <row r="343" spans="1:7">
      <c r="A343" s="8"/>
      <c r="G343" s="8"/>
    </row>
    <row r="344" spans="1:7">
      <c r="A344" s="8"/>
      <c r="G344" s="8"/>
    </row>
    <row r="345" spans="1:7">
      <c r="A345" s="8"/>
      <c r="G345" s="8"/>
    </row>
    <row r="346" spans="1:7">
      <c r="A346" s="8"/>
      <c r="G346" s="8"/>
    </row>
    <row r="347" spans="1:7">
      <c r="A347" s="8"/>
      <c r="G347" s="8"/>
    </row>
    <row r="348" spans="1:7">
      <c r="A348" s="8"/>
      <c r="G348" s="8"/>
    </row>
    <row r="349" spans="1:7">
      <c r="A349" s="8"/>
      <c r="G349" s="8"/>
    </row>
    <row r="350" spans="1:7">
      <c r="A350" s="8"/>
      <c r="G350" s="8"/>
    </row>
    <row r="351" spans="1:7">
      <c r="A351" s="8"/>
      <c r="G351" s="8"/>
    </row>
    <row r="352" spans="1:7">
      <c r="A352" s="8"/>
      <c r="G352" s="8"/>
    </row>
    <row r="353" spans="1:7">
      <c r="A353" s="8"/>
      <c r="G353" s="8"/>
    </row>
    <row r="354" spans="1:7">
      <c r="A354" s="8"/>
      <c r="G354" s="8"/>
    </row>
    <row r="355" spans="1:7">
      <c r="A355" s="8"/>
      <c r="G355" s="8"/>
    </row>
    <row r="356" spans="1:7">
      <c r="A356" s="8"/>
      <c r="G356" s="8"/>
    </row>
    <row r="357" spans="1:7">
      <c r="A357" s="8"/>
      <c r="G357" s="8"/>
    </row>
    <row r="358" spans="1:7">
      <c r="A358" s="8"/>
      <c r="G358" s="8"/>
    </row>
    <row r="359" spans="1:7">
      <c r="A359" s="8"/>
      <c r="G359" s="8"/>
    </row>
    <row r="360" spans="1:7">
      <c r="A360" s="8"/>
      <c r="G360" s="8"/>
    </row>
    <row r="361" spans="1:7">
      <c r="A361" s="8"/>
      <c r="G361" s="8"/>
    </row>
    <row r="362" spans="1:7">
      <c r="A362" s="8"/>
      <c r="G362" s="8"/>
    </row>
    <row r="363" spans="1:7">
      <c r="A363" s="8"/>
      <c r="G363" s="8"/>
    </row>
    <row r="364" spans="1:7">
      <c r="A364" s="8"/>
      <c r="G364" s="8"/>
    </row>
    <row r="365" spans="1:7">
      <c r="A365" s="8"/>
      <c r="G365" s="8"/>
    </row>
    <row r="366" spans="1:7">
      <c r="A366" s="8"/>
      <c r="G366" s="8"/>
    </row>
    <row r="367" spans="1:7">
      <c r="A367" s="8"/>
      <c r="G367" s="8"/>
    </row>
    <row r="368" spans="1:7">
      <c r="A368" s="8"/>
      <c r="G368" s="8"/>
    </row>
    <row r="369" spans="1:7">
      <c r="A369" s="8"/>
      <c r="G369" s="8"/>
    </row>
    <row r="370" spans="1:7">
      <c r="A370" s="8"/>
      <c r="G370" s="8"/>
    </row>
    <row r="371" spans="1:7">
      <c r="A371" s="8"/>
      <c r="G371" s="8"/>
    </row>
    <row r="372" spans="1:7">
      <c r="A372" s="8"/>
      <c r="G372" s="8"/>
    </row>
    <row r="373" spans="1:7">
      <c r="A373" s="8"/>
      <c r="G373" s="8"/>
    </row>
    <row r="374" spans="1:7">
      <c r="A374" s="8"/>
      <c r="G374" s="8"/>
    </row>
    <row r="375" spans="1:7">
      <c r="A375" s="8"/>
      <c r="G375" s="8"/>
    </row>
    <row r="376" spans="1:7">
      <c r="A376" s="8"/>
      <c r="G376" s="8"/>
    </row>
    <row r="377" spans="1:7">
      <c r="A377" s="8"/>
      <c r="G377" s="8"/>
    </row>
    <row r="378" spans="1:7">
      <c r="A378" s="8"/>
      <c r="G378" s="8"/>
    </row>
    <row r="379" spans="1:7">
      <c r="A379" s="8"/>
      <c r="G379" s="8"/>
    </row>
    <row r="380" spans="1:7">
      <c r="A380" s="8"/>
      <c r="G380" s="8"/>
    </row>
    <row r="381" spans="1:7">
      <c r="A381" s="8"/>
      <c r="G381" s="8"/>
    </row>
    <row r="382" spans="1:7">
      <c r="A382" s="8"/>
      <c r="G382" s="8"/>
    </row>
    <row r="383" spans="1:7">
      <c r="A383" s="8"/>
      <c r="G383" s="8"/>
    </row>
    <row r="384" spans="1:7">
      <c r="A384" s="8"/>
      <c r="G384" s="8"/>
    </row>
    <row r="385" spans="1:7">
      <c r="A385" s="8"/>
      <c r="G385" s="8"/>
    </row>
    <row r="386" spans="1:7">
      <c r="A386" s="8"/>
      <c r="G386" s="8"/>
    </row>
    <row r="387" spans="1:7">
      <c r="A387" s="8"/>
      <c r="G387" s="8"/>
    </row>
    <row r="388" spans="1:7">
      <c r="A388" s="8"/>
      <c r="G388" s="8"/>
    </row>
    <row r="389" spans="1:7">
      <c r="A389" s="8"/>
      <c r="G389" s="8"/>
    </row>
    <row r="390" spans="1:7">
      <c r="A390" s="8"/>
      <c r="G390" s="8"/>
    </row>
    <row r="391" spans="1:7">
      <c r="A391" s="8"/>
      <c r="G391" s="8"/>
    </row>
    <row r="392" spans="1:7">
      <c r="A392" s="8"/>
      <c r="G392" s="8"/>
    </row>
    <row r="393" spans="1:7">
      <c r="A393" s="8"/>
      <c r="G393" s="8"/>
    </row>
    <row r="394" spans="1:7">
      <c r="A394" s="8"/>
      <c r="G394" s="8"/>
    </row>
    <row r="395" spans="1:7">
      <c r="A395" s="8"/>
      <c r="G395" s="8"/>
    </row>
    <row r="396" spans="1:7">
      <c r="A396" s="8"/>
      <c r="G396" s="8"/>
    </row>
    <row r="397" spans="1:7">
      <c r="A397" s="8"/>
      <c r="G397" s="8"/>
    </row>
    <row r="398" spans="1:7">
      <c r="A398" s="8"/>
      <c r="G398" s="8"/>
    </row>
    <row r="399" spans="1:7">
      <c r="A399" s="8"/>
      <c r="G399" s="8"/>
    </row>
    <row r="400" spans="1:7">
      <c r="A400" s="8"/>
      <c r="G400" s="8"/>
    </row>
    <row r="401" spans="1:7">
      <c r="A401" s="8"/>
      <c r="G401" s="8"/>
    </row>
    <row r="402" spans="1:7">
      <c r="A402" s="8"/>
      <c r="G402" s="8"/>
    </row>
    <row r="403" spans="1:7">
      <c r="A403" s="8"/>
      <c r="G403" s="8"/>
    </row>
    <row r="404" spans="1:7">
      <c r="A404" s="8"/>
      <c r="G404" s="8"/>
    </row>
    <row r="405" spans="1:7">
      <c r="A405" s="8"/>
      <c r="G405" s="8"/>
    </row>
    <row r="406" spans="1:7">
      <c r="A406" s="8"/>
      <c r="G406" s="8"/>
    </row>
    <row r="407" spans="1:7">
      <c r="A407" s="8"/>
      <c r="G407" s="8"/>
    </row>
    <row r="408" spans="1:7">
      <c r="A408" s="8"/>
      <c r="G408" s="8"/>
    </row>
    <row r="409" spans="1:7">
      <c r="A409" s="8"/>
      <c r="G409" s="8"/>
    </row>
    <row r="410" spans="1:7">
      <c r="A410" s="8"/>
      <c r="G410" s="8"/>
    </row>
    <row r="411" spans="1:7">
      <c r="A411" s="8"/>
      <c r="G411" s="8"/>
    </row>
    <row r="412" spans="1:7">
      <c r="A412" s="8"/>
      <c r="G412" s="8"/>
    </row>
    <row r="413" spans="1:7">
      <c r="A413" s="8"/>
      <c r="G413" s="8"/>
    </row>
    <row r="414" spans="1:7">
      <c r="A414" s="8"/>
      <c r="G414" s="8"/>
    </row>
    <row r="415" spans="1:7">
      <c r="A415" s="8"/>
      <c r="G415" s="8"/>
    </row>
    <row r="416" spans="1:7">
      <c r="A416" s="8"/>
      <c r="G416" s="8"/>
    </row>
    <row r="417" spans="1:7">
      <c r="A417" s="8"/>
      <c r="G417" s="8"/>
    </row>
    <row r="418" spans="1:7">
      <c r="A418" s="8"/>
      <c r="G418" s="8"/>
    </row>
    <row r="419" spans="1:7">
      <c r="A419" s="8"/>
      <c r="G419" s="8"/>
    </row>
    <row r="420" spans="1:7">
      <c r="A420" s="8"/>
      <c r="G420" s="8"/>
    </row>
    <row r="421" spans="1:7">
      <c r="A421" s="8"/>
      <c r="G421" s="8"/>
    </row>
    <row r="422" spans="1:7">
      <c r="A422" s="8"/>
      <c r="G422" s="8"/>
    </row>
    <row r="423" spans="1:7">
      <c r="A423" s="8"/>
      <c r="G423" s="8"/>
    </row>
    <row r="424" spans="1:7">
      <c r="A424" s="8"/>
      <c r="G424" s="8"/>
    </row>
    <row r="425" spans="1:7">
      <c r="A425" s="8"/>
      <c r="G425" s="8"/>
    </row>
    <row r="426" spans="1:7">
      <c r="A426" s="8"/>
      <c r="G426" s="8"/>
    </row>
    <row r="427" spans="1:7">
      <c r="A427" s="8"/>
      <c r="G427" s="8"/>
    </row>
    <row r="428" spans="1:7">
      <c r="A428" s="8"/>
      <c r="G428" s="8"/>
    </row>
    <row r="429" spans="1:7">
      <c r="A429" s="8"/>
      <c r="G429" s="8"/>
    </row>
    <row r="430" spans="1:7">
      <c r="A430" s="8"/>
      <c r="G430" s="8"/>
    </row>
    <row r="431" spans="1:7">
      <c r="A431" s="8"/>
      <c r="G431" s="8"/>
    </row>
    <row r="432" spans="1:7">
      <c r="A432" s="8"/>
      <c r="G432" s="8"/>
    </row>
    <row r="433" spans="1:7">
      <c r="A433" s="8"/>
      <c r="G433" s="8"/>
    </row>
    <row r="434" spans="1:7">
      <c r="A434" s="8"/>
      <c r="G434" s="8"/>
    </row>
    <row r="435" spans="1:7">
      <c r="A435" s="8"/>
      <c r="G435" s="8"/>
    </row>
    <row r="436" spans="1:7">
      <c r="A436" s="8"/>
      <c r="G436" s="8"/>
    </row>
    <row r="437" spans="1:7">
      <c r="A437" s="8"/>
      <c r="G437" s="8"/>
    </row>
    <row r="438" spans="1:7">
      <c r="A438" s="8"/>
      <c r="G438" s="8"/>
    </row>
    <row r="439" spans="1:7">
      <c r="A439" s="8"/>
      <c r="G439" s="8"/>
    </row>
    <row r="440" spans="1:7">
      <c r="A440" s="8"/>
      <c r="G440" s="8"/>
    </row>
    <row r="441" spans="1:7">
      <c r="A441" s="8"/>
      <c r="G441" s="8"/>
    </row>
    <row r="442" spans="1:7">
      <c r="A442" s="8"/>
      <c r="G442" s="8"/>
    </row>
    <row r="443" spans="1:7">
      <c r="A443" s="8"/>
      <c r="G443" s="8"/>
    </row>
    <row r="444" spans="1:7">
      <c r="A444" s="8"/>
      <c r="G444" s="8"/>
    </row>
    <row r="445" spans="1:7">
      <c r="A445" s="8"/>
      <c r="G445" s="8"/>
    </row>
    <row r="446" spans="1:7">
      <c r="A446" s="8"/>
      <c r="G446" s="8"/>
    </row>
    <row r="447" spans="1:7">
      <c r="A447" s="8"/>
      <c r="G447" s="8"/>
    </row>
    <row r="448" spans="1:7">
      <c r="A448" s="8"/>
      <c r="G448" s="8"/>
    </row>
    <row r="449" spans="1:7">
      <c r="A449" s="8"/>
      <c r="G449" s="8"/>
    </row>
    <row r="450" spans="1:7">
      <c r="A450" s="8"/>
      <c r="G450" s="8"/>
    </row>
    <row r="451" spans="1:7">
      <c r="A451" s="8"/>
      <c r="G451" s="8"/>
    </row>
    <row r="452" spans="1:7">
      <c r="A452" s="8"/>
      <c r="G452" s="8"/>
    </row>
    <row r="453" spans="1:7">
      <c r="A453" s="8"/>
      <c r="G453" s="8"/>
    </row>
    <row r="454" spans="1:7">
      <c r="A454" s="8"/>
      <c r="G454" s="8"/>
    </row>
    <row r="455" spans="1:7">
      <c r="A455" s="8"/>
      <c r="G455" s="8"/>
    </row>
    <row r="456" spans="1:7">
      <c r="A456" s="8"/>
      <c r="G456" s="8"/>
    </row>
    <row r="457" spans="1:7">
      <c r="A457" s="8"/>
      <c r="G457" s="8"/>
    </row>
    <row r="458" spans="1:7">
      <c r="A458" s="8"/>
      <c r="G458" s="8"/>
    </row>
    <row r="459" spans="1:7">
      <c r="A459" s="8"/>
      <c r="G459" s="8"/>
    </row>
    <row r="460" spans="1:7">
      <c r="A460" s="8"/>
      <c r="G460" s="8"/>
    </row>
    <row r="461" spans="1:7">
      <c r="A461" s="8"/>
      <c r="G461" s="8"/>
    </row>
    <row r="462" spans="1:7">
      <c r="A462" s="8"/>
      <c r="G462" s="8"/>
    </row>
    <row r="463" spans="1:7">
      <c r="A463" s="8"/>
      <c r="G463" s="8"/>
    </row>
    <row r="464" spans="1:7">
      <c r="A464" s="8"/>
      <c r="G464" s="8"/>
    </row>
    <row r="465" spans="1:7">
      <c r="A465" s="8"/>
      <c r="G465" s="8"/>
    </row>
    <row r="466" spans="1:7">
      <c r="A466" s="8"/>
      <c r="G466" s="8"/>
    </row>
    <row r="467" spans="1:7">
      <c r="A467" s="8"/>
      <c r="G467" s="8"/>
    </row>
    <row r="468" spans="1:7">
      <c r="A468" s="8"/>
      <c r="G468" s="8"/>
    </row>
    <row r="469" spans="1:7">
      <c r="A469" s="8"/>
      <c r="G469" s="8"/>
    </row>
    <row r="470" spans="1:7">
      <c r="A470" s="8"/>
      <c r="G470" s="8"/>
    </row>
    <row r="471" spans="1:7">
      <c r="A471" s="8"/>
      <c r="G471" s="8"/>
    </row>
    <row r="472" spans="1:7">
      <c r="A472" s="8"/>
      <c r="G472" s="8"/>
    </row>
    <row r="473" spans="1:7">
      <c r="A473" s="8"/>
      <c r="G473" s="8"/>
    </row>
    <row r="474" spans="1:7">
      <c r="A474" s="8"/>
      <c r="G474" s="8"/>
    </row>
    <row r="475" spans="1:7">
      <c r="A475" s="8"/>
      <c r="G475" s="8"/>
    </row>
    <row r="476" spans="1:7">
      <c r="A476" s="8"/>
      <c r="G476" s="8"/>
    </row>
    <row r="477" spans="1:7">
      <c r="A477" s="8"/>
      <c r="G477" s="8"/>
    </row>
    <row r="478" spans="1:7">
      <c r="A478" s="8"/>
      <c r="G478" s="8"/>
    </row>
    <row r="479" spans="1:7">
      <c r="A479" s="8"/>
      <c r="G479" s="8"/>
    </row>
    <row r="480" spans="1:7">
      <c r="A480" s="8"/>
      <c r="G480" s="8"/>
    </row>
    <row r="481" spans="1:7">
      <c r="A481" s="8"/>
      <c r="G481" s="8"/>
    </row>
    <row r="482" spans="1:7">
      <c r="A482" s="8"/>
      <c r="G482" s="8"/>
    </row>
    <row r="483" spans="1:7">
      <c r="A483" s="8"/>
      <c r="G483" s="8"/>
    </row>
    <row r="484" spans="1:7">
      <c r="A484" s="8"/>
      <c r="G484" s="8"/>
    </row>
    <row r="485" spans="1:7">
      <c r="A485" s="8"/>
      <c r="G485" s="8"/>
    </row>
    <row r="486" spans="1:7">
      <c r="A486" s="8"/>
      <c r="G486" s="8"/>
    </row>
    <row r="487" spans="1:7">
      <c r="A487" s="8"/>
      <c r="G487" s="8"/>
    </row>
    <row r="488" spans="1:7">
      <c r="A488" s="8"/>
      <c r="G488" s="8"/>
    </row>
    <row r="489" spans="1:7">
      <c r="A489" s="8"/>
      <c r="G489" s="8"/>
    </row>
    <row r="490" spans="1:7">
      <c r="A490" s="8"/>
      <c r="G490" s="8"/>
    </row>
    <row r="491" spans="1:7">
      <c r="A491" s="8"/>
      <c r="G491" s="8"/>
    </row>
    <row r="492" spans="1:7">
      <c r="A492" s="8"/>
      <c r="G492" s="8"/>
    </row>
    <row r="493" spans="1:7">
      <c r="A493" s="8"/>
      <c r="G493" s="8"/>
    </row>
    <row r="494" spans="1:7">
      <c r="A494" s="8"/>
      <c r="G494" s="8"/>
    </row>
    <row r="495" spans="1:7">
      <c r="A495" s="8"/>
      <c r="G495" s="8"/>
    </row>
    <row r="496" spans="1:7">
      <c r="A496" s="8"/>
      <c r="G496" s="8"/>
    </row>
    <row r="497" spans="1:7">
      <c r="A497" s="8"/>
      <c r="G497" s="8"/>
    </row>
    <row r="498" spans="1:7">
      <c r="A498" s="8"/>
      <c r="G498" s="8"/>
    </row>
    <row r="499" spans="1:7">
      <c r="A499" s="8"/>
      <c r="G499" s="8"/>
    </row>
    <row r="500" spans="1:7">
      <c r="A500" s="8"/>
      <c r="G500" s="8"/>
    </row>
  </sheetData>
  <conditionalFormatting sqref="H2:H500">
    <cfRule type="expression" dxfId="24" priority="1">
      <formula>$H2="Cerrada"</formula>
    </cfRule>
    <cfRule type="expression" dxfId="23" priority="2">
      <formula>$H2="Vigente"</formula>
    </cfRule>
    <cfRule type="expression" dxfId="22" priority="3">
      <formula>$H2="Cumple"</formula>
    </cfRule>
    <cfRule type="expression" dxfId="21" priority="4">
      <formula>$H2="Pendiente"</formula>
    </cfRule>
    <cfRule type="expression" dxfId="20" priority="5">
      <formula>$H2="En proceso"</formula>
    </cfRule>
    <cfRule type="expression" dxfId="19" priority="6">
      <formula>$H2="Vencida"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500"/>
  <sheetViews>
    <sheetView workbookViewId="0"/>
  </sheetViews>
  <sheetFormatPr baseColWidth="10" defaultColWidth="8.6640625" defaultRowHeight="14"/>
  <cols>
    <col min="1" max="1" width="14" customWidth="1"/>
    <col min="2" max="2" width="31" customWidth="1"/>
    <col min="3" max="3" width="21" customWidth="1"/>
    <col min="4" max="4" width="20" customWidth="1"/>
    <col min="5" max="5" width="34" customWidth="1"/>
    <col min="6" max="6" width="13" customWidth="1"/>
    <col min="7" max="7" width="25" customWidth="1"/>
    <col min="8" max="8" width="18" customWidth="1"/>
    <col min="9" max="9" width="19" customWidth="1"/>
    <col min="10" max="10" width="16" customWidth="1"/>
    <col min="11" max="11" width="34" customWidth="1"/>
    <col min="12" max="12" width="38" customWidth="1"/>
  </cols>
  <sheetData>
    <row r="1" spans="1:12" ht="15.15" customHeight="1">
      <c r="A1" s="5" t="s">
        <v>0</v>
      </c>
      <c r="B1" s="5" t="s">
        <v>267</v>
      </c>
      <c r="C1" s="5" t="s">
        <v>268</v>
      </c>
      <c r="D1" s="5" t="s">
        <v>1</v>
      </c>
      <c r="E1" s="5" t="s">
        <v>5</v>
      </c>
      <c r="F1" s="5" t="s">
        <v>269</v>
      </c>
      <c r="G1" s="5" t="s">
        <v>8</v>
      </c>
      <c r="H1" s="5" t="s">
        <v>112</v>
      </c>
      <c r="I1" s="5" t="s">
        <v>161</v>
      </c>
      <c r="J1" s="5" t="s">
        <v>9</v>
      </c>
      <c r="K1" s="5" t="s">
        <v>10</v>
      </c>
      <c r="L1" s="5" t="s">
        <v>114</v>
      </c>
    </row>
    <row r="2" spans="1:12" ht="17.75" customHeight="1">
      <c r="A2" s="7">
        <v>46096</v>
      </c>
      <c r="B2" s="6" t="s">
        <v>70</v>
      </c>
      <c r="C2" s="6" t="s">
        <v>270</v>
      </c>
      <c r="D2" s="6" t="s">
        <v>11</v>
      </c>
      <c r="E2" s="6" t="s">
        <v>271</v>
      </c>
      <c r="F2" s="10">
        <v>14</v>
      </c>
      <c r="G2" s="6" t="s">
        <v>118</v>
      </c>
      <c r="H2" s="10" t="s">
        <v>272</v>
      </c>
      <c r="I2" s="7">
        <v>46127</v>
      </c>
      <c r="J2" s="6" t="s">
        <v>13</v>
      </c>
      <c r="K2" s="6" t="s">
        <v>273</v>
      </c>
      <c r="L2" s="6" t="s">
        <v>274</v>
      </c>
    </row>
    <row r="3" spans="1:12" ht="17.75" customHeight="1">
      <c r="A3" s="7">
        <v>46122</v>
      </c>
      <c r="B3" s="6" t="s">
        <v>78</v>
      </c>
      <c r="C3" s="6" t="s">
        <v>275</v>
      </c>
      <c r="D3" s="6" t="s">
        <v>14</v>
      </c>
      <c r="E3" s="6" t="s">
        <v>276</v>
      </c>
      <c r="F3" s="10">
        <v>10</v>
      </c>
      <c r="G3" s="6" t="s">
        <v>118</v>
      </c>
      <c r="H3" s="10" t="s">
        <v>277</v>
      </c>
      <c r="I3" s="7">
        <v>46157</v>
      </c>
      <c r="J3" s="6" t="s">
        <v>73</v>
      </c>
      <c r="K3" s="6" t="s">
        <v>278</v>
      </c>
      <c r="L3" s="6" t="s">
        <v>279</v>
      </c>
    </row>
    <row r="4" spans="1:12" ht="17.75" customHeight="1">
      <c r="A4" s="7">
        <v>46148</v>
      </c>
      <c r="B4" s="6" t="s">
        <v>84</v>
      </c>
      <c r="C4" s="6" t="s">
        <v>280</v>
      </c>
      <c r="D4" s="6" t="s">
        <v>16</v>
      </c>
      <c r="E4" s="6" t="s">
        <v>281</v>
      </c>
      <c r="F4" s="10">
        <v>7</v>
      </c>
      <c r="G4" s="6" t="s">
        <v>143</v>
      </c>
      <c r="H4" s="10" t="s">
        <v>282</v>
      </c>
      <c r="I4" s="7">
        <v>46223</v>
      </c>
      <c r="J4" s="6" t="s">
        <v>66</v>
      </c>
      <c r="K4" s="6"/>
      <c r="L4" s="6" t="s">
        <v>283</v>
      </c>
    </row>
    <row r="5" spans="1:12" ht="17.75" customHeight="1">
      <c r="A5" s="7">
        <v>46185</v>
      </c>
      <c r="B5" s="6" t="s">
        <v>102</v>
      </c>
      <c r="C5" s="6" t="s">
        <v>284</v>
      </c>
      <c r="D5" s="6" t="s">
        <v>104</v>
      </c>
      <c r="E5" s="6" t="s">
        <v>285</v>
      </c>
      <c r="F5" s="10">
        <v>5</v>
      </c>
      <c r="G5" s="6" t="s">
        <v>118</v>
      </c>
      <c r="H5" s="10" t="s">
        <v>286</v>
      </c>
      <c r="I5" s="7">
        <v>46203</v>
      </c>
      <c r="J5" s="6" t="s">
        <v>13</v>
      </c>
      <c r="K5" s="6" t="s">
        <v>287</v>
      </c>
      <c r="L5" s="6" t="s">
        <v>288</v>
      </c>
    </row>
    <row r="6" spans="1:12" ht="17.75" customHeight="1">
      <c r="A6" s="7">
        <v>46208</v>
      </c>
      <c r="B6" s="6" t="s">
        <v>98</v>
      </c>
      <c r="C6" s="6" t="s">
        <v>289</v>
      </c>
      <c r="D6" s="6" t="s">
        <v>108</v>
      </c>
      <c r="E6" s="6" t="s">
        <v>290</v>
      </c>
      <c r="F6" s="10">
        <v>33</v>
      </c>
      <c r="G6" s="6" t="s">
        <v>291</v>
      </c>
      <c r="H6" s="10" t="s">
        <v>292</v>
      </c>
      <c r="I6" s="7">
        <v>46249</v>
      </c>
      <c r="J6" s="6" t="s">
        <v>73</v>
      </c>
      <c r="K6" s="6"/>
      <c r="L6" s="6" t="s">
        <v>293</v>
      </c>
    </row>
    <row r="7" spans="1:12">
      <c r="A7" s="8"/>
      <c r="F7" s="11"/>
      <c r="H7" s="11"/>
      <c r="I7" s="8"/>
    </row>
    <row r="8" spans="1:12">
      <c r="A8" s="8"/>
      <c r="F8" s="11"/>
      <c r="H8" s="11"/>
      <c r="I8" s="8"/>
    </row>
    <row r="9" spans="1:12">
      <c r="A9" s="8"/>
      <c r="F9" s="11"/>
      <c r="H9" s="11"/>
      <c r="I9" s="8"/>
    </row>
    <row r="10" spans="1:12">
      <c r="A10" s="8"/>
      <c r="F10" s="11"/>
      <c r="H10" s="11"/>
      <c r="I10" s="8"/>
    </row>
    <row r="11" spans="1:12">
      <c r="A11" s="8"/>
      <c r="F11" s="11"/>
      <c r="H11" s="11"/>
      <c r="I11" s="8"/>
    </row>
    <row r="12" spans="1:12">
      <c r="A12" s="8"/>
      <c r="F12" s="11"/>
      <c r="H12" s="11"/>
      <c r="I12" s="8"/>
    </row>
    <row r="13" spans="1:12">
      <c r="A13" s="8"/>
      <c r="F13" s="11"/>
      <c r="H13" s="11"/>
      <c r="I13" s="8"/>
    </row>
    <row r="14" spans="1:12">
      <c r="A14" s="8"/>
      <c r="F14" s="11"/>
      <c r="H14" s="11"/>
      <c r="I14" s="8"/>
    </row>
    <row r="15" spans="1:12">
      <c r="A15" s="8"/>
      <c r="F15" s="11"/>
      <c r="H15" s="11"/>
      <c r="I15" s="8"/>
    </row>
    <row r="16" spans="1:12">
      <c r="A16" s="8"/>
      <c r="F16" s="11"/>
      <c r="H16" s="11"/>
      <c r="I16" s="8"/>
    </row>
    <row r="17" spans="1:9">
      <c r="A17" s="8"/>
      <c r="F17" s="11"/>
      <c r="H17" s="11"/>
      <c r="I17" s="8"/>
    </row>
    <row r="18" spans="1:9">
      <c r="A18" s="8"/>
      <c r="F18" s="11"/>
      <c r="H18" s="11"/>
      <c r="I18" s="8"/>
    </row>
    <row r="19" spans="1:9">
      <c r="A19" s="8"/>
      <c r="F19" s="11"/>
      <c r="H19" s="11"/>
      <c r="I19" s="8"/>
    </row>
    <row r="20" spans="1:9">
      <c r="A20" s="8"/>
      <c r="F20" s="11"/>
      <c r="H20" s="11"/>
      <c r="I20" s="8"/>
    </row>
    <row r="21" spans="1:9">
      <c r="A21" s="8"/>
      <c r="F21" s="11"/>
      <c r="H21" s="11"/>
      <c r="I21" s="8"/>
    </row>
    <row r="22" spans="1:9">
      <c r="A22" s="8"/>
      <c r="F22" s="11"/>
      <c r="H22" s="11"/>
      <c r="I22" s="8"/>
    </row>
    <row r="23" spans="1:9">
      <c r="A23" s="8"/>
      <c r="F23" s="11"/>
      <c r="H23" s="11"/>
      <c r="I23" s="8"/>
    </row>
    <row r="24" spans="1:9">
      <c r="A24" s="8"/>
      <c r="F24" s="11"/>
      <c r="H24" s="11"/>
      <c r="I24" s="8"/>
    </row>
    <row r="25" spans="1:9">
      <c r="A25" s="8"/>
      <c r="F25" s="11"/>
      <c r="H25" s="11"/>
      <c r="I25" s="8"/>
    </row>
    <row r="26" spans="1:9">
      <c r="A26" s="8"/>
      <c r="F26" s="11"/>
      <c r="H26" s="11"/>
      <c r="I26" s="8"/>
    </row>
    <row r="27" spans="1:9">
      <c r="A27" s="8"/>
      <c r="F27" s="11"/>
      <c r="H27" s="11"/>
      <c r="I27" s="8"/>
    </row>
    <row r="28" spans="1:9">
      <c r="A28" s="8"/>
      <c r="F28" s="11"/>
      <c r="H28" s="11"/>
      <c r="I28" s="8"/>
    </row>
    <row r="29" spans="1:9">
      <c r="A29" s="8"/>
      <c r="F29" s="11"/>
      <c r="H29" s="11"/>
      <c r="I29" s="8"/>
    </row>
    <row r="30" spans="1:9">
      <c r="A30" s="8"/>
      <c r="F30" s="11"/>
      <c r="H30" s="11"/>
      <c r="I30" s="8"/>
    </row>
    <row r="31" spans="1:9">
      <c r="A31" s="8"/>
      <c r="F31" s="11"/>
      <c r="H31" s="11"/>
      <c r="I31" s="8"/>
    </row>
    <row r="32" spans="1:9">
      <c r="A32" s="8"/>
      <c r="F32" s="11"/>
      <c r="H32" s="11"/>
      <c r="I32" s="8"/>
    </row>
    <row r="33" spans="1:9">
      <c r="A33" s="8"/>
      <c r="F33" s="11"/>
      <c r="H33" s="11"/>
      <c r="I33" s="8"/>
    </row>
    <row r="34" spans="1:9">
      <c r="A34" s="8"/>
      <c r="F34" s="11"/>
      <c r="H34" s="11"/>
      <c r="I34" s="8"/>
    </row>
    <row r="35" spans="1:9">
      <c r="A35" s="8"/>
      <c r="F35" s="11"/>
      <c r="H35" s="11"/>
      <c r="I35" s="8"/>
    </row>
    <row r="36" spans="1:9">
      <c r="A36" s="8"/>
      <c r="F36" s="11"/>
      <c r="H36" s="11"/>
      <c r="I36" s="8"/>
    </row>
    <row r="37" spans="1:9">
      <c r="A37" s="8"/>
      <c r="F37" s="11"/>
      <c r="H37" s="11"/>
      <c r="I37" s="8"/>
    </row>
    <row r="38" spans="1:9">
      <c r="A38" s="8"/>
      <c r="F38" s="11"/>
      <c r="H38" s="11"/>
      <c r="I38" s="8"/>
    </row>
    <row r="39" spans="1:9">
      <c r="A39" s="8"/>
      <c r="F39" s="11"/>
      <c r="H39" s="11"/>
      <c r="I39" s="8"/>
    </row>
    <row r="40" spans="1:9">
      <c r="A40" s="8"/>
      <c r="F40" s="11"/>
      <c r="H40" s="11"/>
      <c r="I40" s="8"/>
    </row>
    <row r="41" spans="1:9">
      <c r="A41" s="8"/>
      <c r="F41" s="11"/>
      <c r="H41" s="11"/>
      <c r="I41" s="8"/>
    </row>
    <row r="42" spans="1:9">
      <c r="A42" s="8"/>
      <c r="F42" s="11"/>
      <c r="H42" s="11"/>
      <c r="I42" s="8"/>
    </row>
    <row r="43" spans="1:9">
      <c r="A43" s="8"/>
      <c r="F43" s="11"/>
      <c r="H43" s="11"/>
      <c r="I43" s="8"/>
    </row>
    <row r="44" spans="1:9">
      <c r="A44" s="8"/>
      <c r="F44" s="11"/>
      <c r="H44" s="11"/>
      <c r="I44" s="8"/>
    </row>
    <row r="45" spans="1:9">
      <c r="A45" s="8"/>
      <c r="F45" s="11"/>
      <c r="H45" s="11"/>
      <c r="I45" s="8"/>
    </row>
    <row r="46" spans="1:9">
      <c r="A46" s="8"/>
      <c r="F46" s="11"/>
      <c r="H46" s="11"/>
      <c r="I46" s="8"/>
    </row>
    <row r="47" spans="1:9">
      <c r="A47" s="8"/>
      <c r="F47" s="11"/>
      <c r="H47" s="11"/>
      <c r="I47" s="8"/>
    </row>
    <row r="48" spans="1:9">
      <c r="A48" s="8"/>
      <c r="F48" s="11"/>
      <c r="H48" s="11"/>
      <c r="I48" s="8"/>
    </row>
    <row r="49" spans="1:9">
      <c r="A49" s="8"/>
      <c r="F49" s="11"/>
      <c r="H49" s="11"/>
      <c r="I49" s="8"/>
    </row>
    <row r="50" spans="1:9">
      <c r="A50" s="8"/>
      <c r="F50" s="11"/>
      <c r="H50" s="11"/>
      <c r="I50" s="8"/>
    </row>
    <row r="51" spans="1:9">
      <c r="A51" s="8"/>
      <c r="F51" s="11"/>
      <c r="H51" s="11"/>
      <c r="I51" s="8"/>
    </row>
    <row r="52" spans="1:9">
      <c r="A52" s="8"/>
      <c r="F52" s="11"/>
      <c r="H52" s="11"/>
      <c r="I52" s="8"/>
    </row>
    <row r="53" spans="1:9">
      <c r="A53" s="8"/>
      <c r="F53" s="11"/>
      <c r="H53" s="11"/>
      <c r="I53" s="8"/>
    </row>
    <row r="54" spans="1:9">
      <c r="A54" s="8"/>
      <c r="F54" s="11"/>
      <c r="H54" s="11"/>
      <c r="I54" s="8"/>
    </row>
    <row r="55" spans="1:9">
      <c r="A55" s="8"/>
      <c r="F55" s="11"/>
      <c r="H55" s="11"/>
      <c r="I55" s="8"/>
    </row>
    <row r="56" spans="1:9">
      <c r="A56" s="8"/>
      <c r="F56" s="11"/>
      <c r="H56" s="11"/>
      <c r="I56" s="8"/>
    </row>
    <row r="57" spans="1:9">
      <c r="A57" s="8"/>
      <c r="F57" s="11"/>
      <c r="H57" s="11"/>
      <c r="I57" s="8"/>
    </row>
    <row r="58" spans="1:9">
      <c r="A58" s="8"/>
      <c r="F58" s="11"/>
      <c r="H58" s="11"/>
      <c r="I58" s="8"/>
    </row>
    <row r="59" spans="1:9">
      <c r="A59" s="8"/>
      <c r="F59" s="11"/>
      <c r="H59" s="11"/>
      <c r="I59" s="8"/>
    </row>
    <row r="60" spans="1:9">
      <c r="A60" s="8"/>
      <c r="F60" s="11"/>
      <c r="H60" s="11"/>
      <c r="I60" s="8"/>
    </row>
    <row r="61" spans="1:9">
      <c r="A61" s="8"/>
      <c r="F61" s="11"/>
      <c r="H61" s="11"/>
      <c r="I61" s="8"/>
    </row>
    <row r="62" spans="1:9">
      <c r="A62" s="8"/>
      <c r="F62" s="11"/>
      <c r="H62" s="11"/>
      <c r="I62" s="8"/>
    </row>
    <row r="63" spans="1:9">
      <c r="A63" s="8"/>
      <c r="F63" s="11"/>
      <c r="H63" s="11"/>
      <c r="I63" s="8"/>
    </row>
    <row r="64" spans="1:9">
      <c r="A64" s="8"/>
      <c r="F64" s="11"/>
      <c r="H64" s="11"/>
      <c r="I64" s="8"/>
    </row>
    <row r="65" spans="1:9">
      <c r="A65" s="8"/>
      <c r="F65" s="11"/>
      <c r="H65" s="11"/>
      <c r="I65" s="8"/>
    </row>
    <row r="66" spans="1:9">
      <c r="A66" s="8"/>
      <c r="F66" s="11"/>
      <c r="H66" s="11"/>
      <c r="I66" s="8"/>
    </row>
    <row r="67" spans="1:9">
      <c r="A67" s="8"/>
      <c r="F67" s="11"/>
      <c r="H67" s="11"/>
      <c r="I67" s="8"/>
    </row>
    <row r="68" spans="1:9">
      <c r="A68" s="8"/>
      <c r="F68" s="11"/>
      <c r="H68" s="11"/>
      <c r="I68" s="8"/>
    </row>
    <row r="69" spans="1:9">
      <c r="A69" s="8"/>
      <c r="F69" s="11"/>
      <c r="H69" s="11"/>
      <c r="I69" s="8"/>
    </row>
    <row r="70" spans="1:9">
      <c r="A70" s="8"/>
      <c r="F70" s="11"/>
      <c r="H70" s="11"/>
      <c r="I70" s="8"/>
    </row>
    <row r="71" spans="1:9">
      <c r="A71" s="8"/>
      <c r="F71" s="11"/>
      <c r="H71" s="11"/>
      <c r="I71" s="8"/>
    </row>
    <row r="72" spans="1:9">
      <c r="A72" s="8"/>
      <c r="F72" s="11"/>
      <c r="H72" s="11"/>
      <c r="I72" s="8"/>
    </row>
    <row r="73" spans="1:9">
      <c r="A73" s="8"/>
      <c r="F73" s="11"/>
      <c r="H73" s="11"/>
      <c r="I73" s="8"/>
    </row>
    <row r="74" spans="1:9">
      <c r="A74" s="8"/>
      <c r="F74" s="11"/>
      <c r="H74" s="11"/>
      <c r="I74" s="8"/>
    </row>
    <row r="75" spans="1:9">
      <c r="A75" s="8"/>
      <c r="F75" s="11"/>
      <c r="H75" s="11"/>
      <c r="I75" s="8"/>
    </row>
    <row r="76" spans="1:9">
      <c r="A76" s="8"/>
      <c r="F76" s="11"/>
      <c r="H76" s="11"/>
      <c r="I76" s="8"/>
    </row>
    <row r="77" spans="1:9">
      <c r="A77" s="8"/>
      <c r="F77" s="11"/>
      <c r="H77" s="11"/>
      <c r="I77" s="8"/>
    </row>
    <row r="78" spans="1:9">
      <c r="A78" s="8"/>
      <c r="F78" s="11"/>
      <c r="H78" s="11"/>
      <c r="I78" s="8"/>
    </row>
    <row r="79" spans="1:9">
      <c r="A79" s="8"/>
      <c r="F79" s="11"/>
      <c r="H79" s="11"/>
      <c r="I79" s="8"/>
    </row>
    <row r="80" spans="1:9">
      <c r="A80" s="8"/>
      <c r="F80" s="11"/>
      <c r="H80" s="11"/>
      <c r="I80" s="8"/>
    </row>
    <row r="81" spans="1:9">
      <c r="A81" s="8"/>
      <c r="F81" s="11"/>
      <c r="H81" s="11"/>
      <c r="I81" s="8"/>
    </row>
    <row r="82" spans="1:9">
      <c r="A82" s="8"/>
      <c r="F82" s="11"/>
      <c r="H82" s="11"/>
      <c r="I82" s="8"/>
    </row>
    <row r="83" spans="1:9">
      <c r="A83" s="8"/>
      <c r="F83" s="11"/>
      <c r="H83" s="11"/>
      <c r="I83" s="8"/>
    </row>
    <row r="84" spans="1:9">
      <c r="A84" s="8"/>
      <c r="F84" s="11"/>
      <c r="H84" s="11"/>
      <c r="I84" s="8"/>
    </row>
    <row r="85" spans="1:9">
      <c r="A85" s="8"/>
      <c r="F85" s="11"/>
      <c r="H85" s="11"/>
      <c r="I85" s="8"/>
    </row>
    <row r="86" spans="1:9">
      <c r="A86" s="8"/>
      <c r="F86" s="11"/>
      <c r="H86" s="11"/>
      <c r="I86" s="8"/>
    </row>
    <row r="87" spans="1:9">
      <c r="A87" s="8"/>
      <c r="F87" s="11"/>
      <c r="H87" s="11"/>
      <c r="I87" s="8"/>
    </row>
    <row r="88" spans="1:9">
      <c r="A88" s="8"/>
      <c r="F88" s="11"/>
      <c r="H88" s="11"/>
      <c r="I88" s="8"/>
    </row>
    <row r="89" spans="1:9">
      <c r="A89" s="8"/>
      <c r="F89" s="11"/>
      <c r="H89" s="11"/>
      <c r="I89" s="8"/>
    </row>
    <row r="90" spans="1:9">
      <c r="A90" s="8"/>
      <c r="F90" s="11"/>
      <c r="H90" s="11"/>
      <c r="I90" s="8"/>
    </row>
    <row r="91" spans="1:9">
      <c r="A91" s="8"/>
      <c r="F91" s="11"/>
      <c r="H91" s="11"/>
      <c r="I91" s="8"/>
    </row>
    <row r="92" spans="1:9">
      <c r="A92" s="8"/>
      <c r="F92" s="11"/>
      <c r="H92" s="11"/>
      <c r="I92" s="8"/>
    </row>
    <row r="93" spans="1:9">
      <c r="A93" s="8"/>
      <c r="F93" s="11"/>
      <c r="H93" s="11"/>
      <c r="I93" s="8"/>
    </row>
    <row r="94" spans="1:9">
      <c r="A94" s="8"/>
      <c r="F94" s="11"/>
      <c r="H94" s="11"/>
      <c r="I94" s="8"/>
    </row>
    <row r="95" spans="1:9">
      <c r="A95" s="8"/>
      <c r="F95" s="11"/>
      <c r="H95" s="11"/>
      <c r="I95" s="8"/>
    </row>
    <row r="96" spans="1:9">
      <c r="A96" s="8"/>
      <c r="F96" s="11"/>
      <c r="H96" s="11"/>
      <c r="I96" s="8"/>
    </row>
    <row r="97" spans="1:9">
      <c r="A97" s="8"/>
      <c r="F97" s="11"/>
      <c r="H97" s="11"/>
      <c r="I97" s="8"/>
    </row>
    <row r="98" spans="1:9">
      <c r="A98" s="8"/>
      <c r="F98" s="11"/>
      <c r="H98" s="11"/>
      <c r="I98" s="8"/>
    </row>
    <row r="99" spans="1:9">
      <c r="A99" s="8"/>
      <c r="F99" s="11"/>
      <c r="H99" s="11"/>
      <c r="I99" s="8"/>
    </row>
    <row r="100" spans="1:9">
      <c r="A100" s="8"/>
      <c r="F100" s="11"/>
      <c r="H100" s="11"/>
      <c r="I100" s="8"/>
    </row>
    <row r="101" spans="1:9">
      <c r="A101" s="8"/>
      <c r="F101" s="11"/>
      <c r="H101" s="11"/>
      <c r="I101" s="8"/>
    </row>
    <row r="102" spans="1:9">
      <c r="A102" s="8"/>
      <c r="F102" s="11"/>
      <c r="H102" s="11"/>
      <c r="I102" s="8"/>
    </row>
    <row r="103" spans="1:9">
      <c r="A103" s="8"/>
      <c r="F103" s="11"/>
      <c r="H103" s="11"/>
      <c r="I103" s="8"/>
    </row>
    <row r="104" spans="1:9">
      <c r="A104" s="8"/>
      <c r="F104" s="11"/>
      <c r="H104" s="11"/>
      <c r="I104" s="8"/>
    </row>
    <row r="105" spans="1:9">
      <c r="A105" s="8"/>
      <c r="F105" s="11"/>
      <c r="H105" s="11"/>
      <c r="I105" s="8"/>
    </row>
    <row r="106" spans="1:9">
      <c r="A106" s="8"/>
      <c r="F106" s="11"/>
      <c r="H106" s="11"/>
      <c r="I106" s="8"/>
    </row>
    <row r="107" spans="1:9">
      <c r="A107" s="8"/>
      <c r="F107" s="11"/>
      <c r="H107" s="11"/>
      <c r="I107" s="8"/>
    </row>
    <row r="108" spans="1:9">
      <c r="A108" s="8"/>
      <c r="F108" s="11"/>
      <c r="H108" s="11"/>
      <c r="I108" s="8"/>
    </row>
    <row r="109" spans="1:9">
      <c r="A109" s="8"/>
      <c r="F109" s="11"/>
      <c r="H109" s="11"/>
      <c r="I109" s="8"/>
    </row>
    <row r="110" spans="1:9">
      <c r="A110" s="8"/>
      <c r="F110" s="11"/>
      <c r="H110" s="11"/>
      <c r="I110" s="8"/>
    </row>
    <row r="111" spans="1:9">
      <c r="A111" s="8"/>
      <c r="F111" s="11"/>
      <c r="H111" s="11"/>
      <c r="I111" s="8"/>
    </row>
    <row r="112" spans="1:9">
      <c r="A112" s="8"/>
      <c r="F112" s="11"/>
      <c r="H112" s="11"/>
      <c r="I112" s="8"/>
    </row>
    <row r="113" spans="1:9">
      <c r="A113" s="8"/>
      <c r="F113" s="11"/>
      <c r="H113" s="11"/>
      <c r="I113" s="8"/>
    </row>
    <row r="114" spans="1:9">
      <c r="A114" s="8"/>
      <c r="F114" s="11"/>
      <c r="H114" s="11"/>
      <c r="I114" s="8"/>
    </row>
    <row r="115" spans="1:9">
      <c r="A115" s="8"/>
      <c r="F115" s="11"/>
      <c r="H115" s="11"/>
      <c r="I115" s="8"/>
    </row>
    <row r="116" spans="1:9">
      <c r="A116" s="8"/>
      <c r="F116" s="11"/>
      <c r="H116" s="11"/>
      <c r="I116" s="8"/>
    </row>
    <row r="117" spans="1:9">
      <c r="A117" s="8"/>
      <c r="F117" s="11"/>
      <c r="H117" s="11"/>
      <c r="I117" s="8"/>
    </row>
    <row r="118" spans="1:9">
      <c r="A118" s="8"/>
      <c r="F118" s="11"/>
      <c r="H118" s="11"/>
      <c r="I118" s="8"/>
    </row>
    <row r="119" spans="1:9">
      <c r="A119" s="8"/>
      <c r="F119" s="11"/>
      <c r="H119" s="11"/>
      <c r="I119" s="8"/>
    </row>
    <row r="120" spans="1:9">
      <c r="A120" s="8"/>
      <c r="F120" s="11"/>
      <c r="H120" s="11"/>
      <c r="I120" s="8"/>
    </row>
    <row r="121" spans="1:9">
      <c r="A121" s="8"/>
      <c r="F121" s="11"/>
      <c r="H121" s="11"/>
      <c r="I121" s="8"/>
    </row>
    <row r="122" spans="1:9">
      <c r="A122" s="8"/>
      <c r="F122" s="11"/>
      <c r="H122" s="11"/>
      <c r="I122" s="8"/>
    </row>
    <row r="123" spans="1:9">
      <c r="A123" s="8"/>
      <c r="F123" s="11"/>
      <c r="H123" s="11"/>
      <c r="I123" s="8"/>
    </row>
    <row r="124" spans="1:9">
      <c r="A124" s="8"/>
      <c r="F124" s="11"/>
      <c r="H124" s="11"/>
      <c r="I124" s="8"/>
    </row>
    <row r="125" spans="1:9">
      <c r="A125" s="8"/>
      <c r="F125" s="11"/>
      <c r="H125" s="11"/>
      <c r="I125" s="8"/>
    </row>
    <row r="126" spans="1:9">
      <c r="A126" s="8"/>
      <c r="F126" s="11"/>
      <c r="H126" s="11"/>
      <c r="I126" s="8"/>
    </row>
    <row r="127" spans="1:9">
      <c r="A127" s="8"/>
      <c r="F127" s="11"/>
      <c r="H127" s="11"/>
      <c r="I127" s="8"/>
    </row>
    <row r="128" spans="1:9">
      <c r="A128" s="8"/>
      <c r="F128" s="11"/>
      <c r="H128" s="11"/>
      <c r="I128" s="8"/>
    </row>
    <row r="129" spans="1:9">
      <c r="A129" s="8"/>
      <c r="F129" s="11"/>
      <c r="H129" s="11"/>
      <c r="I129" s="8"/>
    </row>
    <row r="130" spans="1:9">
      <c r="A130" s="8"/>
      <c r="F130" s="11"/>
      <c r="H130" s="11"/>
      <c r="I130" s="8"/>
    </row>
    <row r="131" spans="1:9">
      <c r="A131" s="8"/>
      <c r="F131" s="11"/>
      <c r="H131" s="11"/>
      <c r="I131" s="8"/>
    </row>
    <row r="132" spans="1:9">
      <c r="A132" s="8"/>
      <c r="F132" s="11"/>
      <c r="H132" s="11"/>
      <c r="I132" s="8"/>
    </row>
    <row r="133" spans="1:9">
      <c r="A133" s="8"/>
      <c r="F133" s="11"/>
      <c r="H133" s="11"/>
      <c r="I133" s="8"/>
    </row>
    <row r="134" spans="1:9">
      <c r="A134" s="8"/>
      <c r="F134" s="11"/>
      <c r="H134" s="11"/>
      <c r="I134" s="8"/>
    </row>
    <row r="135" spans="1:9">
      <c r="A135" s="8"/>
      <c r="F135" s="11"/>
      <c r="H135" s="11"/>
      <c r="I135" s="8"/>
    </row>
    <row r="136" spans="1:9">
      <c r="A136" s="8"/>
      <c r="F136" s="11"/>
      <c r="H136" s="11"/>
      <c r="I136" s="8"/>
    </row>
    <row r="137" spans="1:9">
      <c r="A137" s="8"/>
      <c r="F137" s="11"/>
      <c r="H137" s="11"/>
      <c r="I137" s="8"/>
    </row>
    <row r="138" spans="1:9">
      <c r="A138" s="8"/>
      <c r="F138" s="11"/>
      <c r="H138" s="11"/>
      <c r="I138" s="8"/>
    </row>
    <row r="139" spans="1:9">
      <c r="A139" s="8"/>
      <c r="F139" s="11"/>
      <c r="H139" s="11"/>
      <c r="I139" s="8"/>
    </row>
    <row r="140" spans="1:9">
      <c r="A140" s="8"/>
      <c r="F140" s="11"/>
      <c r="H140" s="11"/>
      <c r="I140" s="8"/>
    </row>
    <row r="141" spans="1:9">
      <c r="A141" s="8"/>
      <c r="F141" s="11"/>
      <c r="H141" s="11"/>
      <c r="I141" s="8"/>
    </row>
    <row r="142" spans="1:9">
      <c r="A142" s="8"/>
      <c r="F142" s="11"/>
      <c r="H142" s="11"/>
      <c r="I142" s="8"/>
    </row>
    <row r="143" spans="1:9">
      <c r="A143" s="8"/>
      <c r="F143" s="11"/>
      <c r="H143" s="11"/>
      <c r="I143" s="8"/>
    </row>
    <row r="144" spans="1:9">
      <c r="A144" s="8"/>
      <c r="F144" s="11"/>
      <c r="H144" s="11"/>
      <c r="I144" s="8"/>
    </row>
    <row r="145" spans="1:9">
      <c r="A145" s="8"/>
      <c r="F145" s="11"/>
      <c r="H145" s="11"/>
      <c r="I145" s="8"/>
    </row>
    <row r="146" spans="1:9">
      <c r="A146" s="8"/>
      <c r="F146" s="11"/>
      <c r="H146" s="11"/>
      <c r="I146" s="8"/>
    </row>
    <row r="147" spans="1:9">
      <c r="A147" s="8"/>
      <c r="F147" s="11"/>
      <c r="H147" s="11"/>
      <c r="I147" s="8"/>
    </row>
    <row r="148" spans="1:9">
      <c r="A148" s="8"/>
      <c r="F148" s="11"/>
      <c r="H148" s="11"/>
      <c r="I148" s="8"/>
    </row>
    <row r="149" spans="1:9">
      <c r="A149" s="8"/>
      <c r="F149" s="11"/>
      <c r="H149" s="11"/>
      <c r="I149" s="8"/>
    </row>
    <row r="150" spans="1:9">
      <c r="A150" s="8"/>
      <c r="F150" s="11"/>
      <c r="H150" s="11"/>
      <c r="I150" s="8"/>
    </row>
    <row r="151" spans="1:9">
      <c r="A151" s="8"/>
      <c r="F151" s="11"/>
      <c r="H151" s="11"/>
      <c r="I151" s="8"/>
    </row>
    <row r="152" spans="1:9">
      <c r="A152" s="8"/>
      <c r="F152" s="11"/>
      <c r="H152" s="11"/>
      <c r="I152" s="8"/>
    </row>
    <row r="153" spans="1:9">
      <c r="A153" s="8"/>
      <c r="F153" s="11"/>
      <c r="H153" s="11"/>
      <c r="I153" s="8"/>
    </row>
    <row r="154" spans="1:9">
      <c r="A154" s="8"/>
      <c r="F154" s="11"/>
      <c r="H154" s="11"/>
      <c r="I154" s="8"/>
    </row>
    <row r="155" spans="1:9">
      <c r="A155" s="8"/>
      <c r="F155" s="11"/>
      <c r="H155" s="11"/>
      <c r="I155" s="8"/>
    </row>
    <row r="156" spans="1:9">
      <c r="A156" s="8"/>
      <c r="F156" s="11"/>
      <c r="H156" s="11"/>
      <c r="I156" s="8"/>
    </row>
    <row r="157" spans="1:9">
      <c r="A157" s="8"/>
      <c r="F157" s="11"/>
      <c r="H157" s="11"/>
      <c r="I157" s="8"/>
    </row>
    <row r="158" spans="1:9">
      <c r="A158" s="8"/>
      <c r="F158" s="11"/>
      <c r="H158" s="11"/>
      <c r="I158" s="8"/>
    </row>
    <row r="159" spans="1:9">
      <c r="A159" s="8"/>
      <c r="F159" s="11"/>
      <c r="H159" s="11"/>
      <c r="I159" s="8"/>
    </row>
    <row r="160" spans="1:9">
      <c r="A160" s="8"/>
      <c r="F160" s="11"/>
      <c r="H160" s="11"/>
      <c r="I160" s="8"/>
    </row>
    <row r="161" spans="1:9">
      <c r="A161" s="8"/>
      <c r="F161" s="11"/>
      <c r="H161" s="11"/>
      <c r="I161" s="8"/>
    </row>
    <row r="162" spans="1:9">
      <c r="A162" s="8"/>
      <c r="F162" s="11"/>
      <c r="H162" s="11"/>
      <c r="I162" s="8"/>
    </row>
    <row r="163" spans="1:9">
      <c r="A163" s="8"/>
      <c r="F163" s="11"/>
      <c r="H163" s="11"/>
      <c r="I163" s="8"/>
    </row>
    <row r="164" spans="1:9">
      <c r="A164" s="8"/>
      <c r="F164" s="11"/>
      <c r="H164" s="11"/>
      <c r="I164" s="8"/>
    </row>
    <row r="165" spans="1:9">
      <c r="A165" s="8"/>
      <c r="F165" s="11"/>
      <c r="H165" s="11"/>
      <c r="I165" s="8"/>
    </row>
    <row r="166" spans="1:9">
      <c r="A166" s="8"/>
      <c r="F166" s="11"/>
      <c r="H166" s="11"/>
      <c r="I166" s="8"/>
    </row>
    <row r="167" spans="1:9">
      <c r="A167" s="8"/>
      <c r="F167" s="11"/>
      <c r="H167" s="11"/>
      <c r="I167" s="8"/>
    </row>
    <row r="168" spans="1:9">
      <c r="A168" s="8"/>
      <c r="F168" s="11"/>
      <c r="H168" s="11"/>
      <c r="I168" s="8"/>
    </row>
    <row r="169" spans="1:9">
      <c r="A169" s="8"/>
      <c r="F169" s="11"/>
      <c r="H169" s="11"/>
      <c r="I169" s="8"/>
    </row>
    <row r="170" spans="1:9">
      <c r="A170" s="8"/>
      <c r="F170" s="11"/>
      <c r="H170" s="11"/>
      <c r="I170" s="8"/>
    </row>
    <row r="171" spans="1:9">
      <c r="A171" s="8"/>
      <c r="F171" s="11"/>
      <c r="H171" s="11"/>
      <c r="I171" s="8"/>
    </row>
    <row r="172" spans="1:9">
      <c r="A172" s="8"/>
      <c r="F172" s="11"/>
      <c r="H172" s="11"/>
      <c r="I172" s="8"/>
    </row>
    <row r="173" spans="1:9">
      <c r="A173" s="8"/>
      <c r="F173" s="11"/>
      <c r="H173" s="11"/>
      <c r="I173" s="8"/>
    </row>
    <row r="174" spans="1:9">
      <c r="A174" s="8"/>
      <c r="F174" s="11"/>
      <c r="H174" s="11"/>
      <c r="I174" s="8"/>
    </row>
    <row r="175" spans="1:9">
      <c r="A175" s="8"/>
      <c r="F175" s="11"/>
      <c r="H175" s="11"/>
      <c r="I175" s="8"/>
    </row>
    <row r="176" spans="1:9">
      <c r="A176" s="8"/>
      <c r="F176" s="11"/>
      <c r="H176" s="11"/>
      <c r="I176" s="8"/>
    </row>
    <row r="177" spans="1:9">
      <c r="A177" s="8"/>
      <c r="F177" s="11"/>
      <c r="H177" s="11"/>
      <c r="I177" s="8"/>
    </row>
    <row r="178" spans="1:9">
      <c r="A178" s="8"/>
      <c r="F178" s="11"/>
      <c r="H178" s="11"/>
      <c r="I178" s="8"/>
    </row>
    <row r="179" spans="1:9">
      <c r="A179" s="8"/>
      <c r="F179" s="11"/>
      <c r="H179" s="11"/>
      <c r="I179" s="8"/>
    </row>
    <row r="180" spans="1:9">
      <c r="A180" s="8"/>
      <c r="F180" s="11"/>
      <c r="H180" s="11"/>
      <c r="I180" s="8"/>
    </row>
    <row r="181" spans="1:9">
      <c r="A181" s="8"/>
      <c r="F181" s="11"/>
      <c r="H181" s="11"/>
      <c r="I181" s="8"/>
    </row>
    <row r="182" spans="1:9">
      <c r="A182" s="8"/>
      <c r="F182" s="11"/>
      <c r="H182" s="11"/>
      <c r="I182" s="8"/>
    </row>
    <row r="183" spans="1:9">
      <c r="A183" s="8"/>
      <c r="F183" s="11"/>
      <c r="H183" s="11"/>
      <c r="I183" s="8"/>
    </row>
    <row r="184" spans="1:9">
      <c r="A184" s="8"/>
      <c r="F184" s="11"/>
      <c r="H184" s="11"/>
      <c r="I184" s="8"/>
    </row>
    <row r="185" spans="1:9">
      <c r="A185" s="8"/>
      <c r="F185" s="11"/>
      <c r="H185" s="11"/>
      <c r="I185" s="8"/>
    </row>
    <row r="186" spans="1:9">
      <c r="A186" s="8"/>
      <c r="F186" s="11"/>
      <c r="H186" s="11"/>
      <c r="I186" s="8"/>
    </row>
    <row r="187" spans="1:9">
      <c r="A187" s="8"/>
      <c r="F187" s="11"/>
      <c r="H187" s="11"/>
      <c r="I187" s="8"/>
    </row>
    <row r="188" spans="1:9">
      <c r="A188" s="8"/>
      <c r="F188" s="11"/>
      <c r="H188" s="11"/>
      <c r="I188" s="8"/>
    </row>
    <row r="189" spans="1:9">
      <c r="A189" s="8"/>
      <c r="F189" s="11"/>
      <c r="H189" s="11"/>
      <c r="I189" s="8"/>
    </row>
    <row r="190" spans="1:9">
      <c r="A190" s="8"/>
      <c r="F190" s="11"/>
      <c r="H190" s="11"/>
      <c r="I190" s="8"/>
    </row>
    <row r="191" spans="1:9">
      <c r="A191" s="8"/>
      <c r="F191" s="11"/>
      <c r="H191" s="11"/>
      <c r="I191" s="8"/>
    </row>
    <row r="192" spans="1:9">
      <c r="A192" s="8"/>
      <c r="F192" s="11"/>
      <c r="H192" s="11"/>
      <c r="I192" s="8"/>
    </row>
    <row r="193" spans="1:9">
      <c r="A193" s="8"/>
      <c r="F193" s="11"/>
      <c r="H193" s="11"/>
      <c r="I193" s="8"/>
    </row>
    <row r="194" spans="1:9">
      <c r="A194" s="8"/>
      <c r="F194" s="11"/>
      <c r="H194" s="11"/>
      <c r="I194" s="8"/>
    </row>
    <row r="195" spans="1:9">
      <c r="A195" s="8"/>
      <c r="F195" s="11"/>
      <c r="H195" s="11"/>
      <c r="I195" s="8"/>
    </row>
    <row r="196" spans="1:9">
      <c r="A196" s="8"/>
      <c r="F196" s="11"/>
      <c r="H196" s="11"/>
      <c r="I196" s="8"/>
    </row>
    <row r="197" spans="1:9">
      <c r="A197" s="8"/>
      <c r="F197" s="11"/>
      <c r="H197" s="11"/>
      <c r="I197" s="8"/>
    </row>
    <row r="198" spans="1:9">
      <c r="A198" s="8"/>
      <c r="F198" s="11"/>
      <c r="H198" s="11"/>
      <c r="I198" s="8"/>
    </row>
    <row r="199" spans="1:9">
      <c r="A199" s="8"/>
      <c r="F199" s="11"/>
      <c r="H199" s="11"/>
      <c r="I199" s="8"/>
    </row>
    <row r="200" spans="1:9">
      <c r="A200" s="8"/>
      <c r="F200" s="11"/>
      <c r="H200" s="11"/>
      <c r="I200" s="8"/>
    </row>
    <row r="201" spans="1:9">
      <c r="A201" s="8"/>
      <c r="F201" s="11"/>
      <c r="H201" s="11"/>
      <c r="I201" s="8"/>
    </row>
    <row r="202" spans="1:9">
      <c r="A202" s="8"/>
      <c r="F202" s="11"/>
      <c r="H202" s="11"/>
      <c r="I202" s="8"/>
    </row>
    <row r="203" spans="1:9">
      <c r="A203" s="8"/>
      <c r="F203" s="11"/>
      <c r="H203" s="11"/>
      <c r="I203" s="8"/>
    </row>
    <row r="204" spans="1:9">
      <c r="A204" s="8"/>
      <c r="F204" s="11"/>
      <c r="H204" s="11"/>
      <c r="I204" s="8"/>
    </row>
    <row r="205" spans="1:9">
      <c r="A205" s="8"/>
      <c r="F205" s="11"/>
      <c r="H205" s="11"/>
      <c r="I205" s="8"/>
    </row>
    <row r="206" spans="1:9">
      <c r="A206" s="8"/>
      <c r="F206" s="11"/>
      <c r="H206" s="11"/>
      <c r="I206" s="8"/>
    </row>
    <row r="207" spans="1:9">
      <c r="A207" s="8"/>
      <c r="F207" s="11"/>
      <c r="H207" s="11"/>
      <c r="I207" s="8"/>
    </row>
    <row r="208" spans="1:9">
      <c r="A208" s="8"/>
      <c r="F208" s="11"/>
      <c r="H208" s="11"/>
      <c r="I208" s="8"/>
    </row>
    <row r="209" spans="1:9">
      <c r="A209" s="8"/>
      <c r="F209" s="11"/>
      <c r="H209" s="11"/>
      <c r="I209" s="8"/>
    </row>
    <row r="210" spans="1:9">
      <c r="A210" s="8"/>
      <c r="F210" s="11"/>
      <c r="H210" s="11"/>
      <c r="I210" s="8"/>
    </row>
    <row r="211" spans="1:9">
      <c r="A211" s="8"/>
      <c r="F211" s="11"/>
      <c r="H211" s="11"/>
      <c r="I211" s="8"/>
    </row>
    <row r="212" spans="1:9">
      <c r="A212" s="8"/>
      <c r="F212" s="11"/>
      <c r="H212" s="11"/>
      <c r="I212" s="8"/>
    </row>
    <row r="213" spans="1:9">
      <c r="A213" s="8"/>
      <c r="F213" s="11"/>
      <c r="H213" s="11"/>
      <c r="I213" s="8"/>
    </row>
    <row r="214" spans="1:9">
      <c r="A214" s="8"/>
      <c r="F214" s="11"/>
      <c r="H214" s="11"/>
      <c r="I214" s="8"/>
    </row>
    <row r="215" spans="1:9">
      <c r="A215" s="8"/>
      <c r="F215" s="11"/>
      <c r="H215" s="11"/>
      <c r="I215" s="8"/>
    </row>
    <row r="216" spans="1:9">
      <c r="A216" s="8"/>
      <c r="F216" s="11"/>
      <c r="H216" s="11"/>
      <c r="I216" s="8"/>
    </row>
    <row r="217" spans="1:9">
      <c r="A217" s="8"/>
      <c r="F217" s="11"/>
      <c r="H217" s="11"/>
      <c r="I217" s="8"/>
    </row>
    <row r="218" spans="1:9">
      <c r="A218" s="8"/>
      <c r="F218" s="11"/>
      <c r="H218" s="11"/>
      <c r="I218" s="8"/>
    </row>
    <row r="219" spans="1:9">
      <c r="A219" s="8"/>
      <c r="F219" s="11"/>
      <c r="H219" s="11"/>
      <c r="I219" s="8"/>
    </row>
    <row r="220" spans="1:9">
      <c r="A220" s="8"/>
      <c r="F220" s="11"/>
      <c r="H220" s="11"/>
      <c r="I220" s="8"/>
    </row>
    <row r="221" spans="1:9">
      <c r="A221" s="8"/>
      <c r="F221" s="11"/>
      <c r="H221" s="11"/>
      <c r="I221" s="8"/>
    </row>
    <row r="222" spans="1:9">
      <c r="A222" s="8"/>
      <c r="F222" s="11"/>
      <c r="H222" s="11"/>
      <c r="I222" s="8"/>
    </row>
    <row r="223" spans="1:9">
      <c r="A223" s="8"/>
      <c r="F223" s="11"/>
      <c r="H223" s="11"/>
      <c r="I223" s="8"/>
    </row>
    <row r="224" spans="1:9">
      <c r="A224" s="8"/>
      <c r="F224" s="11"/>
      <c r="H224" s="11"/>
      <c r="I224" s="8"/>
    </row>
    <row r="225" spans="1:9">
      <c r="A225" s="8"/>
      <c r="F225" s="11"/>
      <c r="H225" s="11"/>
      <c r="I225" s="8"/>
    </row>
    <row r="226" spans="1:9">
      <c r="A226" s="8"/>
      <c r="F226" s="11"/>
      <c r="H226" s="11"/>
      <c r="I226" s="8"/>
    </row>
    <row r="227" spans="1:9">
      <c r="A227" s="8"/>
      <c r="F227" s="11"/>
      <c r="H227" s="11"/>
      <c r="I227" s="8"/>
    </row>
    <row r="228" spans="1:9">
      <c r="A228" s="8"/>
      <c r="F228" s="11"/>
      <c r="H228" s="11"/>
      <c r="I228" s="8"/>
    </row>
    <row r="229" spans="1:9">
      <c r="A229" s="8"/>
      <c r="F229" s="11"/>
      <c r="H229" s="11"/>
      <c r="I229" s="8"/>
    </row>
    <row r="230" spans="1:9">
      <c r="A230" s="8"/>
      <c r="F230" s="11"/>
      <c r="H230" s="11"/>
      <c r="I230" s="8"/>
    </row>
    <row r="231" spans="1:9">
      <c r="A231" s="8"/>
      <c r="F231" s="11"/>
      <c r="H231" s="11"/>
      <c r="I231" s="8"/>
    </row>
    <row r="232" spans="1:9">
      <c r="A232" s="8"/>
      <c r="F232" s="11"/>
      <c r="H232" s="11"/>
      <c r="I232" s="8"/>
    </row>
    <row r="233" spans="1:9">
      <c r="A233" s="8"/>
      <c r="F233" s="11"/>
      <c r="H233" s="11"/>
      <c r="I233" s="8"/>
    </row>
    <row r="234" spans="1:9">
      <c r="A234" s="8"/>
      <c r="F234" s="11"/>
      <c r="H234" s="11"/>
      <c r="I234" s="8"/>
    </row>
    <row r="235" spans="1:9">
      <c r="A235" s="8"/>
      <c r="F235" s="11"/>
      <c r="H235" s="11"/>
      <c r="I235" s="8"/>
    </row>
    <row r="236" spans="1:9">
      <c r="A236" s="8"/>
      <c r="F236" s="11"/>
      <c r="H236" s="11"/>
      <c r="I236" s="8"/>
    </row>
    <row r="237" spans="1:9">
      <c r="A237" s="8"/>
      <c r="F237" s="11"/>
      <c r="H237" s="11"/>
      <c r="I237" s="8"/>
    </row>
    <row r="238" spans="1:9">
      <c r="A238" s="8"/>
      <c r="F238" s="11"/>
      <c r="H238" s="11"/>
      <c r="I238" s="8"/>
    </row>
    <row r="239" spans="1:9">
      <c r="A239" s="8"/>
      <c r="F239" s="11"/>
      <c r="H239" s="11"/>
      <c r="I239" s="8"/>
    </row>
    <row r="240" spans="1:9">
      <c r="A240" s="8"/>
      <c r="F240" s="11"/>
      <c r="H240" s="11"/>
      <c r="I240" s="8"/>
    </row>
    <row r="241" spans="1:9">
      <c r="A241" s="8"/>
      <c r="F241" s="11"/>
      <c r="H241" s="11"/>
      <c r="I241" s="8"/>
    </row>
    <row r="242" spans="1:9">
      <c r="A242" s="8"/>
      <c r="F242" s="11"/>
      <c r="H242" s="11"/>
      <c r="I242" s="8"/>
    </row>
    <row r="243" spans="1:9">
      <c r="A243" s="8"/>
      <c r="F243" s="11"/>
      <c r="H243" s="11"/>
      <c r="I243" s="8"/>
    </row>
    <row r="244" spans="1:9">
      <c r="A244" s="8"/>
      <c r="F244" s="11"/>
      <c r="H244" s="11"/>
      <c r="I244" s="8"/>
    </row>
    <row r="245" spans="1:9">
      <c r="A245" s="8"/>
      <c r="F245" s="11"/>
      <c r="H245" s="11"/>
      <c r="I245" s="8"/>
    </row>
    <row r="246" spans="1:9">
      <c r="A246" s="8"/>
      <c r="F246" s="11"/>
      <c r="H246" s="11"/>
      <c r="I246" s="8"/>
    </row>
    <row r="247" spans="1:9">
      <c r="A247" s="8"/>
      <c r="F247" s="11"/>
      <c r="H247" s="11"/>
      <c r="I247" s="8"/>
    </row>
    <row r="248" spans="1:9">
      <c r="A248" s="8"/>
      <c r="F248" s="11"/>
      <c r="H248" s="11"/>
      <c r="I248" s="8"/>
    </row>
    <row r="249" spans="1:9">
      <c r="A249" s="8"/>
      <c r="F249" s="11"/>
      <c r="H249" s="11"/>
      <c r="I249" s="8"/>
    </row>
    <row r="250" spans="1:9">
      <c r="A250" s="8"/>
      <c r="F250" s="11"/>
      <c r="H250" s="11"/>
      <c r="I250" s="8"/>
    </row>
    <row r="251" spans="1:9">
      <c r="A251" s="8"/>
      <c r="F251" s="11"/>
      <c r="H251" s="11"/>
      <c r="I251" s="8"/>
    </row>
    <row r="252" spans="1:9">
      <c r="A252" s="8"/>
      <c r="F252" s="11"/>
      <c r="H252" s="11"/>
      <c r="I252" s="8"/>
    </row>
    <row r="253" spans="1:9">
      <c r="A253" s="8"/>
      <c r="F253" s="11"/>
      <c r="H253" s="11"/>
      <c r="I253" s="8"/>
    </row>
    <row r="254" spans="1:9">
      <c r="A254" s="8"/>
      <c r="F254" s="11"/>
      <c r="H254" s="11"/>
      <c r="I254" s="8"/>
    </row>
    <row r="255" spans="1:9">
      <c r="A255" s="8"/>
      <c r="F255" s="11"/>
      <c r="H255" s="11"/>
      <c r="I255" s="8"/>
    </row>
    <row r="256" spans="1:9">
      <c r="A256" s="8"/>
      <c r="F256" s="11"/>
      <c r="H256" s="11"/>
      <c r="I256" s="8"/>
    </row>
    <row r="257" spans="1:9">
      <c r="A257" s="8"/>
      <c r="F257" s="11"/>
      <c r="H257" s="11"/>
      <c r="I257" s="8"/>
    </row>
    <row r="258" spans="1:9">
      <c r="A258" s="8"/>
      <c r="F258" s="11"/>
      <c r="H258" s="11"/>
      <c r="I258" s="8"/>
    </row>
    <row r="259" spans="1:9">
      <c r="A259" s="8"/>
      <c r="F259" s="11"/>
      <c r="H259" s="11"/>
      <c r="I259" s="8"/>
    </row>
    <row r="260" spans="1:9">
      <c r="A260" s="8"/>
      <c r="F260" s="11"/>
      <c r="H260" s="11"/>
      <c r="I260" s="8"/>
    </row>
    <row r="261" spans="1:9">
      <c r="A261" s="8"/>
      <c r="F261" s="11"/>
      <c r="H261" s="11"/>
      <c r="I261" s="8"/>
    </row>
    <row r="262" spans="1:9">
      <c r="A262" s="8"/>
      <c r="F262" s="11"/>
      <c r="H262" s="11"/>
      <c r="I262" s="8"/>
    </row>
    <row r="263" spans="1:9">
      <c r="A263" s="8"/>
      <c r="F263" s="11"/>
      <c r="H263" s="11"/>
      <c r="I263" s="8"/>
    </row>
    <row r="264" spans="1:9">
      <c r="A264" s="8"/>
      <c r="F264" s="11"/>
      <c r="H264" s="11"/>
      <c r="I264" s="8"/>
    </row>
    <row r="265" spans="1:9">
      <c r="A265" s="8"/>
      <c r="F265" s="11"/>
      <c r="H265" s="11"/>
      <c r="I265" s="8"/>
    </row>
    <row r="266" spans="1:9">
      <c r="A266" s="8"/>
      <c r="F266" s="11"/>
      <c r="H266" s="11"/>
      <c r="I266" s="8"/>
    </row>
    <row r="267" spans="1:9">
      <c r="A267" s="8"/>
      <c r="F267" s="11"/>
      <c r="H267" s="11"/>
      <c r="I267" s="8"/>
    </row>
    <row r="268" spans="1:9">
      <c r="A268" s="8"/>
      <c r="F268" s="11"/>
      <c r="H268" s="11"/>
      <c r="I268" s="8"/>
    </row>
    <row r="269" spans="1:9">
      <c r="A269" s="8"/>
      <c r="F269" s="11"/>
      <c r="H269" s="11"/>
      <c r="I269" s="8"/>
    </row>
    <row r="270" spans="1:9">
      <c r="A270" s="8"/>
      <c r="F270" s="11"/>
      <c r="H270" s="11"/>
      <c r="I270" s="8"/>
    </row>
    <row r="271" spans="1:9">
      <c r="A271" s="8"/>
      <c r="F271" s="11"/>
      <c r="H271" s="11"/>
      <c r="I271" s="8"/>
    </row>
    <row r="272" spans="1:9">
      <c r="A272" s="8"/>
      <c r="F272" s="11"/>
      <c r="H272" s="11"/>
      <c r="I272" s="8"/>
    </row>
    <row r="273" spans="1:9">
      <c r="A273" s="8"/>
      <c r="F273" s="11"/>
      <c r="H273" s="11"/>
      <c r="I273" s="8"/>
    </row>
    <row r="274" spans="1:9">
      <c r="A274" s="8"/>
      <c r="F274" s="11"/>
      <c r="H274" s="11"/>
      <c r="I274" s="8"/>
    </row>
    <row r="275" spans="1:9">
      <c r="A275" s="8"/>
      <c r="F275" s="11"/>
      <c r="H275" s="11"/>
      <c r="I275" s="8"/>
    </row>
    <row r="276" spans="1:9">
      <c r="A276" s="8"/>
      <c r="F276" s="11"/>
      <c r="H276" s="11"/>
      <c r="I276" s="8"/>
    </row>
    <row r="277" spans="1:9">
      <c r="A277" s="8"/>
      <c r="F277" s="11"/>
      <c r="H277" s="11"/>
      <c r="I277" s="8"/>
    </row>
    <row r="278" spans="1:9">
      <c r="A278" s="8"/>
      <c r="F278" s="11"/>
      <c r="H278" s="11"/>
      <c r="I278" s="8"/>
    </row>
    <row r="279" spans="1:9">
      <c r="A279" s="8"/>
      <c r="F279" s="11"/>
      <c r="H279" s="11"/>
      <c r="I279" s="8"/>
    </row>
    <row r="280" spans="1:9">
      <c r="A280" s="8"/>
      <c r="F280" s="11"/>
      <c r="H280" s="11"/>
      <c r="I280" s="8"/>
    </row>
    <row r="281" spans="1:9">
      <c r="A281" s="8"/>
      <c r="F281" s="11"/>
      <c r="H281" s="11"/>
      <c r="I281" s="8"/>
    </row>
    <row r="282" spans="1:9">
      <c r="A282" s="8"/>
      <c r="F282" s="11"/>
      <c r="H282" s="11"/>
      <c r="I282" s="8"/>
    </row>
    <row r="283" spans="1:9">
      <c r="A283" s="8"/>
      <c r="F283" s="11"/>
      <c r="H283" s="11"/>
      <c r="I283" s="8"/>
    </row>
    <row r="284" spans="1:9">
      <c r="A284" s="8"/>
      <c r="F284" s="11"/>
      <c r="H284" s="11"/>
      <c r="I284" s="8"/>
    </row>
    <row r="285" spans="1:9">
      <c r="A285" s="8"/>
      <c r="F285" s="11"/>
      <c r="H285" s="11"/>
      <c r="I285" s="8"/>
    </row>
    <row r="286" spans="1:9">
      <c r="A286" s="8"/>
      <c r="F286" s="11"/>
      <c r="H286" s="11"/>
      <c r="I286" s="8"/>
    </row>
    <row r="287" spans="1:9">
      <c r="A287" s="8"/>
      <c r="F287" s="11"/>
      <c r="H287" s="11"/>
      <c r="I287" s="8"/>
    </row>
    <row r="288" spans="1:9">
      <c r="A288" s="8"/>
      <c r="F288" s="11"/>
      <c r="H288" s="11"/>
      <c r="I288" s="8"/>
    </row>
    <row r="289" spans="1:9">
      <c r="A289" s="8"/>
      <c r="F289" s="11"/>
      <c r="H289" s="11"/>
      <c r="I289" s="8"/>
    </row>
    <row r="290" spans="1:9">
      <c r="A290" s="8"/>
      <c r="F290" s="11"/>
      <c r="H290" s="11"/>
      <c r="I290" s="8"/>
    </row>
    <row r="291" spans="1:9">
      <c r="A291" s="8"/>
      <c r="F291" s="11"/>
      <c r="H291" s="11"/>
      <c r="I291" s="8"/>
    </row>
    <row r="292" spans="1:9">
      <c r="A292" s="8"/>
      <c r="F292" s="11"/>
      <c r="H292" s="11"/>
      <c r="I292" s="8"/>
    </row>
    <row r="293" spans="1:9">
      <c r="A293" s="8"/>
      <c r="F293" s="11"/>
      <c r="H293" s="11"/>
      <c r="I293" s="8"/>
    </row>
    <row r="294" spans="1:9">
      <c r="A294" s="8"/>
      <c r="F294" s="11"/>
      <c r="H294" s="11"/>
      <c r="I294" s="8"/>
    </row>
    <row r="295" spans="1:9">
      <c r="A295" s="8"/>
      <c r="F295" s="11"/>
      <c r="H295" s="11"/>
      <c r="I295" s="8"/>
    </row>
    <row r="296" spans="1:9">
      <c r="A296" s="8"/>
      <c r="F296" s="11"/>
      <c r="H296" s="11"/>
      <c r="I296" s="8"/>
    </row>
    <row r="297" spans="1:9">
      <c r="A297" s="8"/>
      <c r="F297" s="11"/>
      <c r="H297" s="11"/>
      <c r="I297" s="8"/>
    </row>
    <row r="298" spans="1:9">
      <c r="A298" s="8"/>
      <c r="F298" s="11"/>
      <c r="H298" s="11"/>
      <c r="I298" s="8"/>
    </row>
    <row r="299" spans="1:9">
      <c r="A299" s="8"/>
      <c r="F299" s="11"/>
      <c r="H299" s="11"/>
      <c r="I299" s="8"/>
    </row>
    <row r="300" spans="1:9">
      <c r="A300" s="8"/>
      <c r="F300" s="11"/>
      <c r="H300" s="11"/>
      <c r="I300" s="8"/>
    </row>
    <row r="301" spans="1:9">
      <c r="A301" s="8"/>
      <c r="F301" s="11"/>
      <c r="H301" s="11"/>
      <c r="I301" s="8"/>
    </row>
    <row r="302" spans="1:9">
      <c r="A302" s="8"/>
      <c r="F302" s="11"/>
      <c r="H302" s="11"/>
      <c r="I302" s="8"/>
    </row>
    <row r="303" spans="1:9">
      <c r="A303" s="8"/>
      <c r="F303" s="11"/>
      <c r="H303" s="11"/>
      <c r="I303" s="8"/>
    </row>
    <row r="304" spans="1:9">
      <c r="A304" s="8"/>
      <c r="F304" s="11"/>
      <c r="H304" s="11"/>
      <c r="I304" s="8"/>
    </row>
    <row r="305" spans="1:9">
      <c r="A305" s="8"/>
      <c r="F305" s="11"/>
      <c r="H305" s="11"/>
      <c r="I305" s="8"/>
    </row>
    <row r="306" spans="1:9">
      <c r="A306" s="8"/>
      <c r="F306" s="11"/>
      <c r="H306" s="11"/>
      <c r="I306" s="8"/>
    </row>
    <row r="307" spans="1:9">
      <c r="A307" s="8"/>
      <c r="F307" s="11"/>
      <c r="H307" s="11"/>
      <c r="I307" s="8"/>
    </row>
    <row r="308" spans="1:9">
      <c r="A308" s="8"/>
      <c r="F308" s="11"/>
      <c r="H308" s="11"/>
      <c r="I308" s="8"/>
    </row>
    <row r="309" spans="1:9">
      <c r="A309" s="8"/>
      <c r="F309" s="11"/>
      <c r="H309" s="11"/>
      <c r="I309" s="8"/>
    </row>
    <row r="310" spans="1:9">
      <c r="A310" s="8"/>
      <c r="F310" s="11"/>
      <c r="H310" s="11"/>
      <c r="I310" s="8"/>
    </row>
    <row r="311" spans="1:9">
      <c r="A311" s="8"/>
      <c r="F311" s="11"/>
      <c r="H311" s="11"/>
      <c r="I311" s="8"/>
    </row>
    <row r="312" spans="1:9">
      <c r="A312" s="8"/>
      <c r="F312" s="11"/>
      <c r="H312" s="11"/>
      <c r="I312" s="8"/>
    </row>
    <row r="313" spans="1:9">
      <c r="A313" s="8"/>
      <c r="F313" s="11"/>
      <c r="H313" s="11"/>
      <c r="I313" s="8"/>
    </row>
    <row r="314" spans="1:9">
      <c r="A314" s="8"/>
      <c r="F314" s="11"/>
      <c r="H314" s="11"/>
      <c r="I314" s="8"/>
    </row>
    <row r="315" spans="1:9">
      <c r="A315" s="8"/>
      <c r="F315" s="11"/>
      <c r="H315" s="11"/>
      <c r="I315" s="8"/>
    </row>
    <row r="316" spans="1:9">
      <c r="A316" s="8"/>
      <c r="F316" s="11"/>
      <c r="H316" s="11"/>
      <c r="I316" s="8"/>
    </row>
    <row r="317" spans="1:9">
      <c r="A317" s="8"/>
      <c r="F317" s="11"/>
      <c r="H317" s="11"/>
      <c r="I317" s="8"/>
    </row>
    <row r="318" spans="1:9">
      <c r="A318" s="8"/>
      <c r="F318" s="11"/>
      <c r="H318" s="11"/>
      <c r="I318" s="8"/>
    </row>
    <row r="319" spans="1:9">
      <c r="A319" s="8"/>
      <c r="F319" s="11"/>
      <c r="H319" s="11"/>
      <c r="I319" s="8"/>
    </row>
    <row r="320" spans="1:9">
      <c r="A320" s="8"/>
      <c r="F320" s="11"/>
      <c r="H320" s="11"/>
      <c r="I320" s="8"/>
    </row>
    <row r="321" spans="1:9">
      <c r="A321" s="8"/>
      <c r="F321" s="11"/>
      <c r="H321" s="11"/>
      <c r="I321" s="8"/>
    </row>
    <row r="322" spans="1:9">
      <c r="A322" s="8"/>
      <c r="F322" s="11"/>
      <c r="H322" s="11"/>
      <c r="I322" s="8"/>
    </row>
    <row r="323" spans="1:9">
      <c r="A323" s="8"/>
      <c r="F323" s="11"/>
      <c r="H323" s="11"/>
      <c r="I323" s="8"/>
    </row>
    <row r="324" spans="1:9">
      <c r="A324" s="8"/>
      <c r="F324" s="11"/>
      <c r="H324" s="11"/>
      <c r="I324" s="8"/>
    </row>
    <row r="325" spans="1:9">
      <c r="A325" s="8"/>
      <c r="F325" s="11"/>
      <c r="H325" s="11"/>
      <c r="I325" s="8"/>
    </row>
    <row r="326" spans="1:9">
      <c r="A326" s="8"/>
      <c r="F326" s="11"/>
      <c r="H326" s="11"/>
      <c r="I326" s="8"/>
    </row>
    <row r="327" spans="1:9">
      <c r="A327" s="8"/>
      <c r="F327" s="11"/>
      <c r="H327" s="11"/>
      <c r="I327" s="8"/>
    </row>
    <row r="328" spans="1:9">
      <c r="A328" s="8"/>
      <c r="F328" s="11"/>
      <c r="H328" s="11"/>
      <c r="I328" s="8"/>
    </row>
    <row r="329" spans="1:9">
      <c r="A329" s="8"/>
      <c r="F329" s="11"/>
      <c r="H329" s="11"/>
      <c r="I329" s="8"/>
    </row>
    <row r="330" spans="1:9">
      <c r="A330" s="8"/>
      <c r="F330" s="11"/>
      <c r="H330" s="11"/>
      <c r="I330" s="8"/>
    </row>
    <row r="331" spans="1:9">
      <c r="A331" s="8"/>
      <c r="F331" s="11"/>
      <c r="H331" s="11"/>
      <c r="I331" s="8"/>
    </row>
    <row r="332" spans="1:9">
      <c r="A332" s="8"/>
      <c r="F332" s="11"/>
      <c r="H332" s="11"/>
      <c r="I332" s="8"/>
    </row>
    <row r="333" spans="1:9">
      <c r="A333" s="8"/>
      <c r="F333" s="11"/>
      <c r="H333" s="11"/>
      <c r="I333" s="8"/>
    </row>
    <row r="334" spans="1:9">
      <c r="A334" s="8"/>
      <c r="F334" s="11"/>
      <c r="H334" s="11"/>
      <c r="I334" s="8"/>
    </row>
    <row r="335" spans="1:9">
      <c r="A335" s="8"/>
      <c r="F335" s="11"/>
      <c r="H335" s="11"/>
      <c r="I335" s="8"/>
    </row>
    <row r="336" spans="1:9">
      <c r="A336" s="8"/>
      <c r="F336" s="11"/>
      <c r="H336" s="11"/>
      <c r="I336" s="8"/>
    </row>
    <row r="337" spans="1:9">
      <c r="A337" s="8"/>
      <c r="F337" s="11"/>
      <c r="H337" s="11"/>
      <c r="I337" s="8"/>
    </row>
    <row r="338" spans="1:9">
      <c r="A338" s="8"/>
      <c r="F338" s="11"/>
      <c r="H338" s="11"/>
      <c r="I338" s="8"/>
    </row>
    <row r="339" spans="1:9">
      <c r="A339" s="8"/>
      <c r="F339" s="11"/>
      <c r="H339" s="11"/>
      <c r="I339" s="8"/>
    </row>
    <row r="340" spans="1:9">
      <c r="A340" s="8"/>
      <c r="F340" s="11"/>
      <c r="H340" s="11"/>
      <c r="I340" s="8"/>
    </row>
    <row r="341" spans="1:9">
      <c r="A341" s="8"/>
      <c r="F341" s="11"/>
      <c r="H341" s="11"/>
      <c r="I341" s="8"/>
    </row>
    <row r="342" spans="1:9">
      <c r="A342" s="8"/>
      <c r="F342" s="11"/>
      <c r="H342" s="11"/>
      <c r="I342" s="8"/>
    </row>
    <row r="343" spans="1:9">
      <c r="A343" s="8"/>
      <c r="F343" s="11"/>
      <c r="H343" s="11"/>
      <c r="I343" s="8"/>
    </row>
    <row r="344" spans="1:9">
      <c r="A344" s="8"/>
      <c r="F344" s="11"/>
      <c r="H344" s="11"/>
      <c r="I344" s="8"/>
    </row>
    <row r="345" spans="1:9">
      <c r="A345" s="8"/>
      <c r="F345" s="11"/>
      <c r="H345" s="11"/>
      <c r="I345" s="8"/>
    </row>
    <row r="346" spans="1:9">
      <c r="A346" s="8"/>
      <c r="F346" s="11"/>
      <c r="H346" s="11"/>
      <c r="I346" s="8"/>
    </row>
    <row r="347" spans="1:9">
      <c r="A347" s="8"/>
      <c r="F347" s="11"/>
      <c r="H347" s="11"/>
      <c r="I347" s="8"/>
    </row>
    <row r="348" spans="1:9">
      <c r="A348" s="8"/>
      <c r="F348" s="11"/>
      <c r="H348" s="11"/>
      <c r="I348" s="8"/>
    </row>
    <row r="349" spans="1:9">
      <c r="A349" s="8"/>
      <c r="F349" s="11"/>
      <c r="H349" s="11"/>
      <c r="I349" s="8"/>
    </row>
    <row r="350" spans="1:9">
      <c r="A350" s="8"/>
      <c r="F350" s="11"/>
      <c r="H350" s="11"/>
      <c r="I350" s="8"/>
    </row>
    <row r="351" spans="1:9">
      <c r="A351" s="8"/>
      <c r="F351" s="11"/>
      <c r="H351" s="11"/>
      <c r="I351" s="8"/>
    </row>
    <row r="352" spans="1:9">
      <c r="A352" s="8"/>
      <c r="F352" s="11"/>
      <c r="H352" s="11"/>
      <c r="I352" s="8"/>
    </row>
    <row r="353" spans="1:9">
      <c r="A353" s="8"/>
      <c r="F353" s="11"/>
      <c r="H353" s="11"/>
      <c r="I353" s="8"/>
    </row>
    <row r="354" spans="1:9">
      <c r="A354" s="8"/>
      <c r="F354" s="11"/>
      <c r="H354" s="11"/>
      <c r="I354" s="8"/>
    </row>
    <row r="355" spans="1:9">
      <c r="A355" s="8"/>
      <c r="F355" s="11"/>
      <c r="H355" s="11"/>
      <c r="I355" s="8"/>
    </row>
    <row r="356" spans="1:9">
      <c r="A356" s="8"/>
      <c r="F356" s="11"/>
      <c r="H356" s="11"/>
      <c r="I356" s="8"/>
    </row>
    <row r="357" spans="1:9">
      <c r="A357" s="8"/>
      <c r="F357" s="11"/>
      <c r="H357" s="11"/>
      <c r="I357" s="8"/>
    </row>
    <row r="358" spans="1:9">
      <c r="A358" s="8"/>
      <c r="F358" s="11"/>
      <c r="H358" s="11"/>
      <c r="I358" s="8"/>
    </row>
    <row r="359" spans="1:9">
      <c r="A359" s="8"/>
      <c r="F359" s="11"/>
      <c r="H359" s="11"/>
      <c r="I359" s="8"/>
    </row>
    <row r="360" spans="1:9">
      <c r="A360" s="8"/>
      <c r="F360" s="11"/>
      <c r="H360" s="11"/>
      <c r="I360" s="8"/>
    </row>
    <row r="361" spans="1:9">
      <c r="A361" s="8"/>
      <c r="F361" s="11"/>
      <c r="H361" s="11"/>
      <c r="I361" s="8"/>
    </row>
    <row r="362" spans="1:9">
      <c r="A362" s="8"/>
      <c r="F362" s="11"/>
      <c r="H362" s="11"/>
      <c r="I362" s="8"/>
    </row>
    <row r="363" spans="1:9">
      <c r="A363" s="8"/>
      <c r="F363" s="11"/>
      <c r="H363" s="11"/>
      <c r="I363" s="8"/>
    </row>
    <row r="364" spans="1:9">
      <c r="A364" s="8"/>
      <c r="F364" s="11"/>
      <c r="H364" s="11"/>
      <c r="I364" s="8"/>
    </row>
    <row r="365" spans="1:9">
      <c r="A365" s="8"/>
      <c r="F365" s="11"/>
      <c r="H365" s="11"/>
      <c r="I365" s="8"/>
    </row>
    <row r="366" spans="1:9">
      <c r="A366" s="8"/>
      <c r="F366" s="11"/>
      <c r="H366" s="11"/>
      <c r="I366" s="8"/>
    </row>
    <row r="367" spans="1:9">
      <c r="A367" s="8"/>
      <c r="F367" s="11"/>
      <c r="H367" s="11"/>
      <c r="I367" s="8"/>
    </row>
    <row r="368" spans="1:9">
      <c r="A368" s="8"/>
      <c r="F368" s="11"/>
      <c r="H368" s="11"/>
      <c r="I368" s="8"/>
    </row>
    <row r="369" spans="1:9">
      <c r="A369" s="8"/>
      <c r="F369" s="11"/>
      <c r="H369" s="11"/>
      <c r="I369" s="8"/>
    </row>
    <row r="370" spans="1:9">
      <c r="A370" s="8"/>
      <c r="F370" s="11"/>
      <c r="H370" s="11"/>
      <c r="I370" s="8"/>
    </row>
    <row r="371" spans="1:9">
      <c r="A371" s="8"/>
      <c r="F371" s="11"/>
      <c r="H371" s="11"/>
      <c r="I371" s="8"/>
    </row>
    <row r="372" spans="1:9">
      <c r="A372" s="8"/>
      <c r="F372" s="11"/>
      <c r="H372" s="11"/>
      <c r="I372" s="8"/>
    </row>
    <row r="373" spans="1:9">
      <c r="A373" s="8"/>
      <c r="F373" s="11"/>
      <c r="H373" s="11"/>
      <c r="I373" s="8"/>
    </row>
    <row r="374" spans="1:9">
      <c r="A374" s="8"/>
      <c r="F374" s="11"/>
      <c r="H374" s="11"/>
      <c r="I374" s="8"/>
    </row>
    <row r="375" spans="1:9">
      <c r="A375" s="8"/>
      <c r="F375" s="11"/>
      <c r="H375" s="11"/>
      <c r="I375" s="8"/>
    </row>
    <row r="376" spans="1:9">
      <c r="A376" s="8"/>
      <c r="F376" s="11"/>
      <c r="H376" s="11"/>
      <c r="I376" s="8"/>
    </row>
    <row r="377" spans="1:9">
      <c r="A377" s="8"/>
      <c r="F377" s="11"/>
      <c r="H377" s="11"/>
      <c r="I377" s="8"/>
    </row>
    <row r="378" spans="1:9">
      <c r="A378" s="8"/>
      <c r="F378" s="11"/>
      <c r="H378" s="11"/>
      <c r="I378" s="8"/>
    </row>
    <row r="379" spans="1:9">
      <c r="A379" s="8"/>
      <c r="F379" s="11"/>
      <c r="H379" s="11"/>
      <c r="I379" s="8"/>
    </row>
    <row r="380" spans="1:9">
      <c r="A380" s="8"/>
      <c r="F380" s="11"/>
      <c r="H380" s="11"/>
      <c r="I380" s="8"/>
    </row>
    <row r="381" spans="1:9">
      <c r="A381" s="8"/>
      <c r="F381" s="11"/>
      <c r="H381" s="11"/>
      <c r="I381" s="8"/>
    </row>
    <row r="382" spans="1:9">
      <c r="A382" s="8"/>
      <c r="F382" s="11"/>
      <c r="H382" s="11"/>
      <c r="I382" s="8"/>
    </row>
    <row r="383" spans="1:9">
      <c r="A383" s="8"/>
      <c r="F383" s="11"/>
      <c r="H383" s="11"/>
      <c r="I383" s="8"/>
    </row>
    <row r="384" spans="1:9">
      <c r="A384" s="8"/>
      <c r="F384" s="11"/>
      <c r="H384" s="11"/>
      <c r="I384" s="8"/>
    </row>
    <row r="385" spans="1:9">
      <c r="A385" s="8"/>
      <c r="F385" s="11"/>
      <c r="H385" s="11"/>
      <c r="I385" s="8"/>
    </row>
    <row r="386" spans="1:9">
      <c r="A386" s="8"/>
      <c r="F386" s="11"/>
      <c r="H386" s="11"/>
      <c r="I386" s="8"/>
    </row>
    <row r="387" spans="1:9">
      <c r="A387" s="8"/>
      <c r="F387" s="11"/>
      <c r="H387" s="11"/>
      <c r="I387" s="8"/>
    </row>
    <row r="388" spans="1:9">
      <c r="A388" s="8"/>
      <c r="F388" s="11"/>
      <c r="H388" s="11"/>
      <c r="I388" s="8"/>
    </row>
    <row r="389" spans="1:9">
      <c r="A389" s="8"/>
      <c r="F389" s="11"/>
      <c r="H389" s="11"/>
      <c r="I389" s="8"/>
    </row>
    <row r="390" spans="1:9">
      <c r="A390" s="8"/>
      <c r="F390" s="11"/>
      <c r="H390" s="11"/>
      <c r="I390" s="8"/>
    </row>
    <row r="391" spans="1:9">
      <c r="A391" s="8"/>
      <c r="F391" s="11"/>
      <c r="H391" s="11"/>
      <c r="I391" s="8"/>
    </row>
    <row r="392" spans="1:9">
      <c r="A392" s="8"/>
      <c r="F392" s="11"/>
      <c r="H392" s="11"/>
      <c r="I392" s="8"/>
    </row>
    <row r="393" spans="1:9">
      <c r="A393" s="8"/>
      <c r="F393" s="11"/>
      <c r="H393" s="11"/>
      <c r="I393" s="8"/>
    </row>
    <row r="394" spans="1:9">
      <c r="A394" s="8"/>
      <c r="F394" s="11"/>
      <c r="H394" s="11"/>
      <c r="I394" s="8"/>
    </row>
    <row r="395" spans="1:9">
      <c r="A395" s="8"/>
      <c r="F395" s="11"/>
      <c r="H395" s="11"/>
      <c r="I395" s="8"/>
    </row>
    <row r="396" spans="1:9">
      <c r="A396" s="8"/>
      <c r="F396" s="11"/>
      <c r="H396" s="11"/>
      <c r="I396" s="8"/>
    </row>
    <row r="397" spans="1:9">
      <c r="A397" s="8"/>
      <c r="F397" s="11"/>
      <c r="H397" s="11"/>
      <c r="I397" s="8"/>
    </row>
    <row r="398" spans="1:9">
      <c r="A398" s="8"/>
      <c r="F398" s="11"/>
      <c r="H398" s="11"/>
      <c r="I398" s="8"/>
    </row>
    <row r="399" spans="1:9">
      <c r="A399" s="8"/>
      <c r="F399" s="11"/>
      <c r="H399" s="11"/>
      <c r="I399" s="8"/>
    </row>
    <row r="400" spans="1:9">
      <c r="A400" s="8"/>
      <c r="F400" s="11"/>
      <c r="H400" s="11"/>
      <c r="I400" s="8"/>
    </row>
    <row r="401" spans="1:9">
      <c r="A401" s="8"/>
      <c r="F401" s="11"/>
      <c r="H401" s="11"/>
      <c r="I401" s="8"/>
    </row>
    <row r="402" spans="1:9">
      <c r="A402" s="8"/>
      <c r="F402" s="11"/>
      <c r="H402" s="11"/>
      <c r="I402" s="8"/>
    </row>
    <row r="403" spans="1:9">
      <c r="A403" s="8"/>
      <c r="F403" s="11"/>
      <c r="H403" s="11"/>
      <c r="I403" s="8"/>
    </row>
    <row r="404" spans="1:9">
      <c r="A404" s="8"/>
      <c r="F404" s="11"/>
      <c r="H404" s="11"/>
      <c r="I404" s="8"/>
    </row>
    <row r="405" spans="1:9">
      <c r="A405" s="8"/>
      <c r="F405" s="11"/>
      <c r="H405" s="11"/>
      <c r="I405" s="8"/>
    </row>
    <row r="406" spans="1:9">
      <c r="A406" s="8"/>
      <c r="F406" s="11"/>
      <c r="H406" s="11"/>
      <c r="I406" s="8"/>
    </row>
    <row r="407" spans="1:9">
      <c r="A407" s="8"/>
      <c r="F407" s="11"/>
      <c r="H407" s="11"/>
      <c r="I407" s="8"/>
    </row>
    <row r="408" spans="1:9">
      <c r="A408" s="8"/>
      <c r="F408" s="11"/>
      <c r="H408" s="11"/>
      <c r="I408" s="8"/>
    </row>
    <row r="409" spans="1:9">
      <c r="A409" s="8"/>
      <c r="F409" s="11"/>
      <c r="H409" s="11"/>
      <c r="I409" s="8"/>
    </row>
    <row r="410" spans="1:9">
      <c r="A410" s="8"/>
      <c r="F410" s="11"/>
      <c r="H410" s="11"/>
      <c r="I410" s="8"/>
    </row>
    <row r="411" spans="1:9">
      <c r="A411" s="8"/>
      <c r="F411" s="11"/>
      <c r="H411" s="11"/>
      <c r="I411" s="8"/>
    </row>
    <row r="412" spans="1:9">
      <c r="A412" s="8"/>
      <c r="F412" s="11"/>
      <c r="H412" s="11"/>
      <c r="I412" s="8"/>
    </row>
    <row r="413" spans="1:9">
      <c r="A413" s="8"/>
      <c r="F413" s="11"/>
      <c r="H413" s="11"/>
      <c r="I413" s="8"/>
    </row>
    <row r="414" spans="1:9">
      <c r="A414" s="8"/>
      <c r="F414" s="11"/>
      <c r="H414" s="11"/>
      <c r="I414" s="8"/>
    </row>
    <row r="415" spans="1:9">
      <c r="A415" s="8"/>
      <c r="F415" s="11"/>
      <c r="H415" s="11"/>
      <c r="I415" s="8"/>
    </row>
    <row r="416" spans="1:9">
      <c r="A416" s="8"/>
      <c r="F416" s="11"/>
      <c r="H416" s="11"/>
      <c r="I416" s="8"/>
    </row>
    <row r="417" spans="1:9">
      <c r="A417" s="8"/>
      <c r="F417" s="11"/>
      <c r="H417" s="11"/>
      <c r="I417" s="8"/>
    </row>
    <row r="418" spans="1:9">
      <c r="A418" s="8"/>
      <c r="F418" s="11"/>
      <c r="H418" s="11"/>
      <c r="I418" s="8"/>
    </row>
    <row r="419" spans="1:9">
      <c r="A419" s="8"/>
      <c r="F419" s="11"/>
      <c r="H419" s="11"/>
      <c r="I419" s="8"/>
    </row>
    <row r="420" spans="1:9">
      <c r="A420" s="8"/>
      <c r="F420" s="11"/>
      <c r="H420" s="11"/>
      <c r="I420" s="8"/>
    </row>
    <row r="421" spans="1:9">
      <c r="A421" s="8"/>
      <c r="F421" s="11"/>
      <c r="H421" s="11"/>
      <c r="I421" s="8"/>
    </row>
    <row r="422" spans="1:9">
      <c r="A422" s="8"/>
      <c r="F422" s="11"/>
      <c r="H422" s="11"/>
      <c r="I422" s="8"/>
    </row>
    <row r="423" spans="1:9">
      <c r="A423" s="8"/>
      <c r="F423" s="11"/>
      <c r="H423" s="11"/>
      <c r="I423" s="8"/>
    </row>
    <row r="424" spans="1:9">
      <c r="A424" s="8"/>
      <c r="F424" s="11"/>
      <c r="H424" s="11"/>
      <c r="I424" s="8"/>
    </row>
    <row r="425" spans="1:9">
      <c r="A425" s="8"/>
      <c r="F425" s="11"/>
      <c r="H425" s="11"/>
      <c r="I425" s="8"/>
    </row>
    <row r="426" spans="1:9">
      <c r="A426" s="8"/>
      <c r="F426" s="11"/>
      <c r="H426" s="11"/>
      <c r="I426" s="8"/>
    </row>
    <row r="427" spans="1:9">
      <c r="A427" s="8"/>
      <c r="F427" s="11"/>
      <c r="H427" s="11"/>
      <c r="I427" s="8"/>
    </row>
    <row r="428" spans="1:9">
      <c r="A428" s="8"/>
      <c r="F428" s="11"/>
      <c r="H428" s="11"/>
      <c r="I428" s="8"/>
    </row>
    <row r="429" spans="1:9">
      <c r="A429" s="8"/>
      <c r="F429" s="11"/>
      <c r="H429" s="11"/>
      <c r="I429" s="8"/>
    </row>
    <row r="430" spans="1:9">
      <c r="A430" s="8"/>
      <c r="F430" s="11"/>
      <c r="H430" s="11"/>
      <c r="I430" s="8"/>
    </row>
    <row r="431" spans="1:9">
      <c r="A431" s="8"/>
      <c r="F431" s="11"/>
      <c r="H431" s="11"/>
      <c r="I431" s="8"/>
    </row>
    <row r="432" spans="1:9">
      <c r="A432" s="8"/>
      <c r="F432" s="11"/>
      <c r="H432" s="11"/>
      <c r="I432" s="8"/>
    </row>
    <row r="433" spans="1:9">
      <c r="A433" s="8"/>
      <c r="F433" s="11"/>
      <c r="H433" s="11"/>
      <c r="I433" s="8"/>
    </row>
    <row r="434" spans="1:9">
      <c r="A434" s="8"/>
      <c r="F434" s="11"/>
      <c r="H434" s="11"/>
      <c r="I434" s="8"/>
    </row>
    <row r="435" spans="1:9">
      <c r="A435" s="8"/>
      <c r="F435" s="11"/>
      <c r="H435" s="11"/>
      <c r="I435" s="8"/>
    </row>
    <row r="436" spans="1:9">
      <c r="A436" s="8"/>
      <c r="F436" s="11"/>
      <c r="H436" s="11"/>
      <c r="I436" s="8"/>
    </row>
    <row r="437" spans="1:9">
      <c r="A437" s="8"/>
      <c r="F437" s="11"/>
      <c r="H437" s="11"/>
      <c r="I437" s="8"/>
    </row>
    <row r="438" spans="1:9">
      <c r="A438" s="8"/>
      <c r="F438" s="11"/>
      <c r="H438" s="11"/>
      <c r="I438" s="8"/>
    </row>
    <row r="439" spans="1:9">
      <c r="A439" s="8"/>
      <c r="F439" s="11"/>
      <c r="H439" s="11"/>
      <c r="I439" s="8"/>
    </row>
    <row r="440" spans="1:9">
      <c r="A440" s="8"/>
      <c r="F440" s="11"/>
      <c r="H440" s="11"/>
      <c r="I440" s="8"/>
    </row>
    <row r="441" spans="1:9">
      <c r="A441" s="8"/>
      <c r="F441" s="11"/>
      <c r="H441" s="11"/>
      <c r="I441" s="8"/>
    </row>
    <row r="442" spans="1:9">
      <c r="A442" s="8"/>
      <c r="F442" s="11"/>
      <c r="H442" s="11"/>
      <c r="I442" s="8"/>
    </row>
    <row r="443" spans="1:9">
      <c r="A443" s="8"/>
      <c r="F443" s="11"/>
      <c r="H443" s="11"/>
      <c r="I443" s="8"/>
    </row>
    <row r="444" spans="1:9">
      <c r="A444" s="8"/>
      <c r="F444" s="11"/>
      <c r="H444" s="11"/>
      <c r="I444" s="8"/>
    </row>
    <row r="445" spans="1:9">
      <c r="A445" s="8"/>
      <c r="F445" s="11"/>
      <c r="H445" s="11"/>
      <c r="I445" s="8"/>
    </row>
    <row r="446" spans="1:9">
      <c r="A446" s="8"/>
      <c r="F446" s="11"/>
      <c r="H446" s="11"/>
      <c r="I446" s="8"/>
    </row>
    <row r="447" spans="1:9">
      <c r="A447" s="8"/>
      <c r="F447" s="11"/>
      <c r="H447" s="11"/>
      <c r="I447" s="8"/>
    </row>
    <row r="448" spans="1:9">
      <c r="A448" s="8"/>
      <c r="F448" s="11"/>
      <c r="H448" s="11"/>
      <c r="I448" s="8"/>
    </row>
    <row r="449" spans="1:9">
      <c r="A449" s="8"/>
      <c r="F449" s="11"/>
      <c r="H449" s="11"/>
      <c r="I449" s="8"/>
    </row>
    <row r="450" spans="1:9">
      <c r="A450" s="8"/>
      <c r="F450" s="11"/>
      <c r="H450" s="11"/>
      <c r="I450" s="8"/>
    </row>
    <row r="451" spans="1:9">
      <c r="A451" s="8"/>
      <c r="F451" s="11"/>
      <c r="H451" s="11"/>
      <c r="I451" s="8"/>
    </row>
    <row r="452" spans="1:9">
      <c r="A452" s="8"/>
      <c r="F452" s="11"/>
      <c r="H452" s="11"/>
      <c r="I452" s="8"/>
    </row>
    <row r="453" spans="1:9">
      <c r="A453" s="8"/>
      <c r="F453" s="11"/>
      <c r="H453" s="11"/>
      <c r="I453" s="8"/>
    </row>
    <row r="454" spans="1:9">
      <c r="A454" s="8"/>
      <c r="F454" s="11"/>
      <c r="H454" s="11"/>
      <c r="I454" s="8"/>
    </row>
    <row r="455" spans="1:9">
      <c r="A455" s="8"/>
      <c r="F455" s="11"/>
      <c r="H455" s="11"/>
      <c r="I455" s="8"/>
    </row>
    <row r="456" spans="1:9">
      <c r="A456" s="8"/>
      <c r="F456" s="11"/>
      <c r="H456" s="11"/>
      <c r="I456" s="8"/>
    </row>
    <row r="457" spans="1:9">
      <c r="A457" s="8"/>
      <c r="F457" s="11"/>
      <c r="H457" s="11"/>
      <c r="I457" s="8"/>
    </row>
    <row r="458" spans="1:9">
      <c r="A458" s="8"/>
      <c r="F458" s="11"/>
      <c r="H458" s="11"/>
      <c r="I458" s="8"/>
    </row>
    <row r="459" spans="1:9">
      <c r="A459" s="8"/>
      <c r="F459" s="11"/>
      <c r="H459" s="11"/>
      <c r="I459" s="8"/>
    </row>
    <row r="460" spans="1:9">
      <c r="A460" s="8"/>
      <c r="F460" s="11"/>
      <c r="H460" s="11"/>
      <c r="I460" s="8"/>
    </row>
    <row r="461" spans="1:9">
      <c r="A461" s="8"/>
      <c r="F461" s="11"/>
      <c r="H461" s="11"/>
      <c r="I461" s="8"/>
    </row>
    <row r="462" spans="1:9">
      <c r="A462" s="8"/>
      <c r="F462" s="11"/>
      <c r="H462" s="11"/>
      <c r="I462" s="8"/>
    </row>
    <row r="463" spans="1:9">
      <c r="A463" s="8"/>
      <c r="F463" s="11"/>
      <c r="H463" s="11"/>
      <c r="I463" s="8"/>
    </row>
    <row r="464" spans="1:9">
      <c r="A464" s="8"/>
      <c r="F464" s="11"/>
      <c r="H464" s="11"/>
      <c r="I464" s="8"/>
    </row>
    <row r="465" spans="1:9">
      <c r="A465" s="8"/>
      <c r="F465" s="11"/>
      <c r="H465" s="11"/>
      <c r="I465" s="8"/>
    </row>
    <row r="466" spans="1:9">
      <c r="A466" s="8"/>
      <c r="F466" s="11"/>
      <c r="H466" s="11"/>
      <c r="I466" s="8"/>
    </row>
    <row r="467" spans="1:9">
      <c r="A467" s="8"/>
      <c r="F467" s="11"/>
      <c r="H467" s="11"/>
      <c r="I467" s="8"/>
    </row>
    <row r="468" spans="1:9">
      <c r="A468" s="8"/>
      <c r="F468" s="11"/>
      <c r="H468" s="11"/>
      <c r="I468" s="8"/>
    </row>
    <row r="469" spans="1:9">
      <c r="A469" s="8"/>
      <c r="F469" s="11"/>
      <c r="H469" s="11"/>
      <c r="I469" s="8"/>
    </row>
    <row r="470" spans="1:9">
      <c r="A470" s="8"/>
      <c r="F470" s="11"/>
      <c r="H470" s="11"/>
      <c r="I470" s="8"/>
    </row>
    <row r="471" spans="1:9">
      <c r="A471" s="8"/>
      <c r="F471" s="11"/>
      <c r="H471" s="11"/>
      <c r="I471" s="8"/>
    </row>
    <row r="472" spans="1:9">
      <c r="A472" s="8"/>
      <c r="F472" s="11"/>
      <c r="H472" s="11"/>
      <c r="I472" s="8"/>
    </row>
    <row r="473" spans="1:9">
      <c r="A473" s="8"/>
      <c r="F473" s="11"/>
      <c r="H473" s="11"/>
      <c r="I473" s="8"/>
    </row>
    <row r="474" spans="1:9">
      <c r="A474" s="8"/>
      <c r="F474" s="11"/>
      <c r="H474" s="11"/>
      <c r="I474" s="8"/>
    </row>
    <row r="475" spans="1:9">
      <c r="A475" s="8"/>
      <c r="F475" s="11"/>
      <c r="H475" s="11"/>
      <c r="I475" s="8"/>
    </row>
    <row r="476" spans="1:9">
      <c r="A476" s="8"/>
      <c r="F476" s="11"/>
      <c r="H476" s="11"/>
      <c r="I476" s="8"/>
    </row>
    <row r="477" spans="1:9">
      <c r="A477" s="8"/>
      <c r="F477" s="11"/>
      <c r="H477" s="11"/>
      <c r="I477" s="8"/>
    </row>
    <row r="478" spans="1:9">
      <c r="A478" s="8"/>
      <c r="F478" s="11"/>
      <c r="H478" s="11"/>
      <c r="I478" s="8"/>
    </row>
    <row r="479" spans="1:9">
      <c r="A479" s="8"/>
      <c r="F479" s="11"/>
      <c r="H479" s="11"/>
      <c r="I479" s="8"/>
    </row>
    <row r="480" spans="1:9">
      <c r="A480" s="8"/>
      <c r="F480" s="11"/>
      <c r="H480" s="11"/>
      <c r="I480" s="8"/>
    </row>
    <row r="481" spans="1:9">
      <c r="A481" s="8"/>
      <c r="F481" s="11"/>
      <c r="H481" s="11"/>
      <c r="I481" s="8"/>
    </row>
    <row r="482" spans="1:9">
      <c r="A482" s="8"/>
      <c r="F482" s="11"/>
      <c r="H482" s="11"/>
      <c r="I482" s="8"/>
    </row>
    <row r="483" spans="1:9">
      <c r="A483" s="8"/>
      <c r="F483" s="11"/>
      <c r="H483" s="11"/>
      <c r="I483" s="8"/>
    </row>
    <row r="484" spans="1:9">
      <c r="A484" s="8"/>
      <c r="F484" s="11"/>
      <c r="H484" s="11"/>
      <c r="I484" s="8"/>
    </row>
    <row r="485" spans="1:9">
      <c r="A485" s="8"/>
      <c r="F485" s="11"/>
      <c r="H485" s="11"/>
      <c r="I485" s="8"/>
    </row>
    <row r="486" spans="1:9">
      <c r="A486" s="8"/>
      <c r="F486" s="11"/>
      <c r="H486" s="11"/>
      <c r="I486" s="8"/>
    </row>
    <row r="487" spans="1:9">
      <c r="A487" s="8"/>
      <c r="F487" s="11"/>
      <c r="H487" s="11"/>
      <c r="I487" s="8"/>
    </row>
    <row r="488" spans="1:9">
      <c r="A488" s="8"/>
      <c r="F488" s="11"/>
      <c r="H488" s="11"/>
      <c r="I488" s="8"/>
    </row>
    <row r="489" spans="1:9">
      <c r="A489" s="8"/>
      <c r="F489" s="11"/>
      <c r="H489" s="11"/>
      <c r="I489" s="8"/>
    </row>
    <row r="490" spans="1:9">
      <c r="A490" s="8"/>
      <c r="F490" s="11"/>
      <c r="H490" s="11"/>
      <c r="I490" s="8"/>
    </row>
    <row r="491" spans="1:9">
      <c r="A491" s="8"/>
      <c r="F491" s="11"/>
      <c r="H491" s="11"/>
      <c r="I491" s="8"/>
    </row>
    <row r="492" spans="1:9">
      <c r="A492" s="8"/>
      <c r="F492" s="11"/>
      <c r="H492" s="11"/>
      <c r="I492" s="8"/>
    </row>
    <row r="493" spans="1:9">
      <c r="A493" s="8"/>
      <c r="F493" s="11"/>
      <c r="H493" s="11"/>
      <c r="I493" s="8"/>
    </row>
    <row r="494" spans="1:9">
      <c r="A494" s="8"/>
      <c r="F494" s="11"/>
      <c r="H494" s="11"/>
      <c r="I494" s="8"/>
    </row>
    <row r="495" spans="1:9">
      <c r="A495" s="8"/>
      <c r="F495" s="11"/>
      <c r="H495" s="11"/>
      <c r="I495" s="8"/>
    </row>
    <row r="496" spans="1:9">
      <c r="A496" s="8"/>
      <c r="F496" s="11"/>
      <c r="H496" s="11"/>
      <c r="I496" s="8"/>
    </row>
    <row r="497" spans="1:9">
      <c r="A497" s="8"/>
      <c r="F497" s="11"/>
      <c r="H497" s="11"/>
      <c r="I497" s="8"/>
    </row>
    <row r="498" spans="1:9">
      <c r="A498" s="8"/>
      <c r="F498" s="11"/>
      <c r="H498" s="11"/>
      <c r="I498" s="8"/>
    </row>
    <row r="499" spans="1:9">
      <c r="A499" s="8"/>
      <c r="F499" s="11"/>
      <c r="H499" s="11"/>
      <c r="I499" s="8"/>
    </row>
    <row r="500" spans="1:9">
      <c r="A500" s="8"/>
      <c r="F500" s="11"/>
      <c r="H500" s="11"/>
      <c r="I500" s="8"/>
    </row>
  </sheetData>
  <conditionalFormatting sqref="J2:J500">
    <cfRule type="expression" dxfId="18" priority="1">
      <formula>$J2="Cerrada"</formula>
    </cfRule>
    <cfRule type="expression" dxfId="17" priority="2">
      <formula>$J2="Vigente"</formula>
    </cfRule>
    <cfRule type="expression" dxfId="16" priority="3">
      <formula>$J2="Cumple"</formula>
    </cfRule>
    <cfRule type="expression" dxfId="15" priority="4">
      <formula>$J2="Pendiente"</formula>
    </cfRule>
    <cfRule type="expression" dxfId="14" priority="5">
      <formula>$J2="En proceso"</formula>
    </cfRule>
    <cfRule type="expression" dxfId="13" priority="6">
      <formula>$J2="Vencida"</formula>
    </cfRule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505"/>
  <sheetViews>
    <sheetView zoomScale="85" zoomScaleNormal="85" workbookViewId="0">
      <selection activeCell="I10" sqref="I10"/>
    </sheetView>
  </sheetViews>
  <sheetFormatPr baseColWidth="10" defaultColWidth="8.6640625" defaultRowHeight="14"/>
  <cols>
    <col min="1" max="1" width="14" customWidth="1"/>
    <col min="2" max="2" width="8.33203125" bestFit="1" customWidth="1"/>
    <col min="3" max="3" width="20.4140625" bestFit="1" customWidth="1"/>
    <col min="4" max="4" width="34" customWidth="1"/>
    <col min="5" max="5" width="25" customWidth="1"/>
    <col min="6" max="6" width="16" customWidth="1"/>
    <col min="7" max="7" width="13.08203125" bestFit="1" customWidth="1"/>
    <col min="8" max="8" width="15.08203125" bestFit="1" customWidth="1"/>
    <col min="9" max="9" width="8.6640625" bestFit="1" customWidth="1"/>
  </cols>
  <sheetData>
    <row r="1" spans="1:9" ht="22.65" customHeight="1">
      <c r="A1" s="27" t="s">
        <v>0</v>
      </c>
      <c r="B1" s="27" t="s">
        <v>294</v>
      </c>
      <c r="C1" s="27" t="s">
        <v>295</v>
      </c>
      <c r="D1" s="27" t="s">
        <v>296</v>
      </c>
      <c r="E1" s="27" t="s">
        <v>297</v>
      </c>
      <c r="F1" s="27" t="s">
        <v>200</v>
      </c>
      <c r="G1" s="27" t="s">
        <v>9</v>
      </c>
      <c r="H1" s="27" t="s">
        <v>298</v>
      </c>
      <c r="I1" s="27" t="s">
        <v>299</v>
      </c>
    </row>
    <row r="2" spans="1:9" ht="24" customHeight="1">
      <c r="A2" s="28">
        <v>45940</v>
      </c>
      <c r="B2" s="29" t="s">
        <v>71</v>
      </c>
      <c r="C2" s="30" t="s">
        <v>300</v>
      </c>
      <c r="D2" s="29" t="s">
        <v>301</v>
      </c>
      <c r="E2" s="29" t="s">
        <v>302</v>
      </c>
      <c r="F2" s="28">
        <v>46305</v>
      </c>
      <c r="G2" s="31" t="str">
        <f t="shared" ref="G2:G65" ca="1" si="0">IF(A2="","",IF(F2="","Sin vencimiento",IF(F2&lt;TODAY(),"Vencida",IF(F2&lt;=TODAY()+30,"Por vencer","Vigente"))))</f>
        <v>Vigente</v>
      </c>
      <c r="H2" s="47">
        <f t="shared" ref="H2:H65" ca="1" si="1">IF(A2="","",IF(F2="","",F2-TODAY()))</f>
        <v>88</v>
      </c>
      <c r="I2" s="31" t="s">
        <v>303</v>
      </c>
    </row>
    <row r="3" spans="1:9" ht="24" customHeight="1">
      <c r="A3" s="28">
        <v>45940</v>
      </c>
      <c r="B3" s="29" t="s">
        <v>71</v>
      </c>
      <c r="C3" s="29" t="s">
        <v>304</v>
      </c>
      <c r="D3" s="29" t="s">
        <v>301</v>
      </c>
      <c r="E3" s="29" t="s">
        <v>302</v>
      </c>
      <c r="F3" s="28">
        <v>46305</v>
      </c>
      <c r="G3" s="32" t="str">
        <f t="shared" ca="1" si="0"/>
        <v>Vigente</v>
      </c>
      <c r="H3" s="48">
        <f t="shared" ca="1" si="1"/>
        <v>88</v>
      </c>
      <c r="I3" s="32" t="s">
        <v>303</v>
      </c>
    </row>
    <row r="4" spans="1:9" ht="24" customHeight="1">
      <c r="A4" s="28">
        <v>45940</v>
      </c>
      <c r="B4" s="29" t="s">
        <v>71</v>
      </c>
      <c r="C4" s="29" t="s">
        <v>305</v>
      </c>
      <c r="D4" s="29" t="s">
        <v>301</v>
      </c>
      <c r="E4" s="29" t="s">
        <v>302</v>
      </c>
      <c r="F4" s="28">
        <v>46305</v>
      </c>
      <c r="G4" s="32" t="str">
        <f t="shared" ca="1" si="0"/>
        <v>Vigente</v>
      </c>
      <c r="H4" s="48">
        <f t="shared" ca="1" si="1"/>
        <v>88</v>
      </c>
      <c r="I4" s="32" t="s">
        <v>303</v>
      </c>
    </row>
    <row r="5" spans="1:9" ht="24" customHeight="1">
      <c r="A5" s="28">
        <v>45940</v>
      </c>
      <c r="B5" s="29" t="s">
        <v>71</v>
      </c>
      <c r="C5" s="29" t="s">
        <v>306</v>
      </c>
      <c r="D5" s="29" t="s">
        <v>301</v>
      </c>
      <c r="E5" s="29" t="s">
        <v>302</v>
      </c>
      <c r="F5" s="28">
        <v>46305</v>
      </c>
      <c r="G5" s="32" t="str">
        <f t="shared" ca="1" si="0"/>
        <v>Vigente</v>
      </c>
      <c r="H5" s="48">
        <f t="shared" ca="1" si="1"/>
        <v>88</v>
      </c>
      <c r="I5" s="32" t="s">
        <v>303</v>
      </c>
    </row>
    <row r="6" spans="1:9" ht="24" customHeight="1">
      <c r="A6" s="28">
        <v>45940</v>
      </c>
      <c r="B6" s="29" t="s">
        <v>71</v>
      </c>
      <c r="C6" s="29" t="s">
        <v>307</v>
      </c>
      <c r="D6" s="29" t="s">
        <v>301</v>
      </c>
      <c r="E6" s="29" t="s">
        <v>302</v>
      </c>
      <c r="F6" s="28">
        <v>46305</v>
      </c>
      <c r="G6" s="32" t="str">
        <f t="shared" ca="1" si="0"/>
        <v>Vigente</v>
      </c>
      <c r="H6" s="48">
        <f t="shared" ca="1" si="1"/>
        <v>88</v>
      </c>
      <c r="I6" s="32" t="s">
        <v>303</v>
      </c>
    </row>
    <row r="7" spans="1:9" ht="24" customHeight="1">
      <c r="A7" s="28">
        <v>45958</v>
      </c>
      <c r="B7" s="29" t="s">
        <v>79</v>
      </c>
      <c r="C7" s="29" t="s">
        <v>308</v>
      </c>
      <c r="D7" s="29" t="s">
        <v>309</v>
      </c>
      <c r="E7" s="29" t="s">
        <v>310</v>
      </c>
      <c r="F7" s="28">
        <v>46530</v>
      </c>
      <c r="G7" s="32" t="str">
        <f t="shared" ca="1" si="0"/>
        <v>Vigente</v>
      </c>
      <c r="H7" s="48">
        <f t="shared" ca="1" si="1"/>
        <v>313</v>
      </c>
      <c r="I7" s="32" t="s">
        <v>303</v>
      </c>
    </row>
    <row r="8" spans="1:9" ht="24" customHeight="1">
      <c r="A8" s="28">
        <v>45958</v>
      </c>
      <c r="B8" s="29" t="s">
        <v>79</v>
      </c>
      <c r="C8" s="29" t="s">
        <v>311</v>
      </c>
      <c r="D8" s="29" t="s">
        <v>309</v>
      </c>
      <c r="E8" s="29" t="s">
        <v>310</v>
      </c>
      <c r="F8" s="28">
        <v>46302</v>
      </c>
      <c r="G8" s="32" t="str">
        <f t="shared" ca="1" si="0"/>
        <v>Vigente</v>
      </c>
      <c r="H8" s="48">
        <f t="shared" ca="1" si="1"/>
        <v>85</v>
      </c>
      <c r="I8" s="32" t="s">
        <v>303</v>
      </c>
    </row>
    <row r="9" spans="1:9" ht="24" customHeight="1">
      <c r="A9" s="28">
        <v>45958</v>
      </c>
      <c r="B9" s="29" t="s">
        <v>79</v>
      </c>
      <c r="C9" s="29" t="s">
        <v>312</v>
      </c>
      <c r="D9" s="29" t="s">
        <v>309</v>
      </c>
      <c r="E9" s="29" t="s">
        <v>310</v>
      </c>
      <c r="F9" s="28">
        <v>46302</v>
      </c>
      <c r="G9" s="32" t="str">
        <f t="shared" ca="1" si="0"/>
        <v>Vigente</v>
      </c>
      <c r="H9" s="48">
        <f t="shared" ca="1" si="1"/>
        <v>85</v>
      </c>
      <c r="I9" s="32" t="s">
        <v>303</v>
      </c>
    </row>
    <row r="10" spans="1:9" ht="24" customHeight="1">
      <c r="A10" s="28">
        <v>45877</v>
      </c>
      <c r="B10" s="29" t="s">
        <v>91</v>
      </c>
      <c r="C10" s="30" t="s">
        <v>49</v>
      </c>
      <c r="D10" s="29" t="s">
        <v>313</v>
      </c>
      <c r="E10" s="29" t="s">
        <v>314</v>
      </c>
      <c r="F10" s="28">
        <v>46242</v>
      </c>
      <c r="G10" s="32" t="str">
        <f t="shared" ca="1" si="0"/>
        <v>Por vencer</v>
      </c>
      <c r="H10" s="48">
        <f t="shared" ca="1" si="1"/>
        <v>25</v>
      </c>
      <c r="I10" s="32" t="s">
        <v>303</v>
      </c>
    </row>
    <row r="11" spans="1:9" ht="24" customHeight="1">
      <c r="A11" s="28">
        <v>46191</v>
      </c>
      <c r="B11" s="29" t="s">
        <v>91</v>
      </c>
      <c r="C11" s="30" t="s">
        <v>315</v>
      </c>
      <c r="D11" s="29" t="s">
        <v>314</v>
      </c>
      <c r="E11" s="29" t="s">
        <v>314</v>
      </c>
      <c r="F11" s="28">
        <v>46556</v>
      </c>
      <c r="G11" s="29" t="str">
        <f t="shared" ca="1" si="0"/>
        <v>Vigente</v>
      </c>
      <c r="H11" s="48">
        <f t="shared" ca="1" si="1"/>
        <v>339</v>
      </c>
      <c r="I11" s="32" t="s">
        <v>303</v>
      </c>
    </row>
    <row r="12" spans="1:9" ht="24" customHeight="1">
      <c r="A12" s="28"/>
      <c r="B12" s="29"/>
      <c r="C12" s="30"/>
      <c r="D12" s="29"/>
      <c r="E12" s="29"/>
      <c r="F12" s="42"/>
      <c r="G12" s="29" t="str">
        <f t="shared" ca="1" si="0"/>
        <v/>
      </c>
      <c r="H12" s="45" t="str">
        <f t="shared" ca="1" si="1"/>
        <v/>
      </c>
      <c r="I12" s="32"/>
    </row>
    <row r="13" spans="1:9" ht="24" customHeight="1">
      <c r="A13" s="28"/>
      <c r="B13" s="29"/>
      <c r="C13" s="30"/>
      <c r="D13" s="29"/>
      <c r="E13" s="29"/>
      <c r="F13" s="42"/>
      <c r="G13" s="29" t="str">
        <f t="shared" ca="1" si="0"/>
        <v/>
      </c>
      <c r="H13" s="45" t="str">
        <f t="shared" ca="1" si="1"/>
        <v/>
      </c>
      <c r="I13" s="32"/>
    </row>
    <row r="14" spans="1:9" ht="24" customHeight="1">
      <c r="A14" s="28"/>
      <c r="B14" s="29"/>
      <c r="C14" s="30"/>
      <c r="D14" s="29"/>
      <c r="E14" s="29"/>
      <c r="F14" s="42"/>
      <c r="G14" s="29" t="str">
        <f t="shared" ca="1" si="0"/>
        <v/>
      </c>
      <c r="H14" s="45" t="str">
        <f t="shared" ca="1" si="1"/>
        <v/>
      </c>
      <c r="I14" s="32"/>
    </row>
    <row r="15" spans="1:9" ht="24" customHeight="1">
      <c r="A15" s="28"/>
      <c r="B15" s="29"/>
      <c r="C15" s="30"/>
      <c r="D15" s="29"/>
      <c r="E15" s="29"/>
      <c r="F15" s="42"/>
      <c r="G15" s="29" t="str">
        <f t="shared" ca="1" si="0"/>
        <v/>
      </c>
      <c r="H15" s="45" t="str">
        <f t="shared" ca="1" si="1"/>
        <v/>
      </c>
      <c r="I15" s="32"/>
    </row>
    <row r="16" spans="1:9" ht="24" customHeight="1">
      <c r="A16" s="28"/>
      <c r="B16" s="29"/>
      <c r="C16" s="30"/>
      <c r="D16" s="29"/>
      <c r="E16" s="29"/>
      <c r="F16" s="28"/>
      <c r="G16" s="29" t="str">
        <f t="shared" ca="1" si="0"/>
        <v/>
      </c>
      <c r="H16" s="45" t="str">
        <f t="shared" ca="1" si="1"/>
        <v/>
      </c>
      <c r="I16" s="32"/>
    </row>
    <row r="17" spans="1:9" ht="24" customHeight="1">
      <c r="A17" s="28"/>
      <c r="B17" s="29"/>
      <c r="C17" s="30"/>
      <c r="D17" s="29"/>
      <c r="E17" s="29"/>
      <c r="F17" s="28"/>
      <c r="G17" s="29" t="str">
        <f t="shared" ca="1" si="0"/>
        <v/>
      </c>
      <c r="H17" s="45" t="str">
        <f t="shared" ca="1" si="1"/>
        <v/>
      </c>
      <c r="I17" s="32"/>
    </row>
    <row r="18" spans="1:9" ht="24" customHeight="1">
      <c r="A18" s="28"/>
      <c r="B18" s="29"/>
      <c r="C18" s="30"/>
      <c r="D18" s="29"/>
      <c r="E18" s="29"/>
      <c r="F18" s="28"/>
      <c r="G18" s="29" t="str">
        <f t="shared" ca="1" si="0"/>
        <v/>
      </c>
      <c r="H18" s="45" t="str">
        <f t="shared" ca="1" si="1"/>
        <v/>
      </c>
      <c r="I18" s="32"/>
    </row>
    <row r="19" spans="1:9" ht="24" customHeight="1">
      <c r="A19" s="28"/>
      <c r="B19" s="29"/>
      <c r="C19" s="30"/>
      <c r="D19" s="29"/>
      <c r="E19" s="29"/>
      <c r="F19" s="28"/>
      <c r="G19" s="29" t="str">
        <f t="shared" ca="1" si="0"/>
        <v/>
      </c>
      <c r="H19" s="45" t="str">
        <f t="shared" ca="1" si="1"/>
        <v/>
      </c>
      <c r="I19" s="32"/>
    </row>
    <row r="20" spans="1:9" ht="24" customHeight="1">
      <c r="A20" s="28"/>
      <c r="B20" s="29"/>
      <c r="C20" s="30"/>
      <c r="D20" s="29"/>
      <c r="E20" s="29"/>
      <c r="F20" s="28"/>
      <c r="G20" s="29" t="str">
        <f t="shared" ca="1" si="0"/>
        <v/>
      </c>
      <c r="H20" s="45" t="str">
        <f t="shared" ca="1" si="1"/>
        <v/>
      </c>
      <c r="I20" s="32"/>
    </row>
    <row r="21" spans="1:9">
      <c r="A21" s="28"/>
      <c r="B21" s="29"/>
      <c r="C21" s="30"/>
      <c r="D21" s="29"/>
      <c r="E21" s="29"/>
      <c r="F21" s="28"/>
      <c r="G21" s="29" t="str">
        <f t="shared" ca="1" si="0"/>
        <v/>
      </c>
      <c r="H21" s="45" t="str">
        <f t="shared" ca="1" si="1"/>
        <v/>
      </c>
      <c r="I21" s="32"/>
    </row>
    <row r="22" spans="1:9">
      <c r="A22" s="28"/>
      <c r="B22" s="29"/>
      <c r="C22" s="30"/>
      <c r="D22" s="29"/>
      <c r="E22" s="29"/>
      <c r="F22" s="28"/>
      <c r="G22" s="29" t="str">
        <f t="shared" ca="1" si="0"/>
        <v/>
      </c>
      <c r="H22" s="45" t="str">
        <f t="shared" ca="1" si="1"/>
        <v/>
      </c>
      <c r="I22" s="32"/>
    </row>
    <row r="23" spans="1:9">
      <c r="A23" s="28"/>
      <c r="B23" s="29"/>
      <c r="C23" s="30"/>
      <c r="D23" s="29"/>
      <c r="E23" s="29"/>
      <c r="F23" s="28"/>
      <c r="G23" s="29" t="str">
        <f t="shared" ca="1" si="0"/>
        <v/>
      </c>
      <c r="H23" s="45" t="str">
        <f t="shared" ca="1" si="1"/>
        <v/>
      </c>
      <c r="I23" s="32"/>
    </row>
    <row r="24" spans="1:9">
      <c r="A24" s="28"/>
      <c r="B24" s="29"/>
      <c r="C24" s="30"/>
      <c r="D24" s="29"/>
      <c r="E24" s="29"/>
      <c r="F24" s="28"/>
      <c r="G24" s="29" t="str">
        <f t="shared" ca="1" si="0"/>
        <v/>
      </c>
      <c r="H24" s="45" t="str">
        <f t="shared" ca="1" si="1"/>
        <v/>
      </c>
      <c r="I24" s="32"/>
    </row>
    <row r="25" spans="1:9">
      <c r="A25" s="28"/>
      <c r="B25" s="29"/>
      <c r="C25" s="30"/>
      <c r="D25" s="29"/>
      <c r="E25" s="29"/>
      <c r="F25" s="28"/>
      <c r="G25" s="29" t="str">
        <f t="shared" ca="1" si="0"/>
        <v/>
      </c>
      <c r="H25" s="45" t="str">
        <f t="shared" ca="1" si="1"/>
        <v/>
      </c>
      <c r="I25" s="32"/>
    </row>
    <row r="26" spans="1:9">
      <c r="A26" s="28"/>
      <c r="B26" s="29"/>
      <c r="C26" s="30"/>
      <c r="D26" s="29"/>
      <c r="E26" s="29"/>
      <c r="F26" s="28"/>
      <c r="G26" s="29" t="str">
        <f t="shared" ca="1" si="0"/>
        <v/>
      </c>
      <c r="H26" s="45" t="str">
        <f t="shared" ca="1" si="1"/>
        <v/>
      </c>
      <c r="I26" s="32"/>
    </row>
    <row r="27" spans="1:9">
      <c r="A27" s="28"/>
      <c r="B27" s="29"/>
      <c r="C27" s="30"/>
      <c r="D27" s="29"/>
      <c r="E27" s="29"/>
      <c r="F27" s="28"/>
      <c r="G27" s="29" t="str">
        <f t="shared" ca="1" si="0"/>
        <v/>
      </c>
      <c r="H27" s="45" t="str">
        <f t="shared" ca="1" si="1"/>
        <v/>
      </c>
      <c r="I27" s="32"/>
    </row>
    <row r="28" spans="1:9">
      <c r="A28" s="28"/>
      <c r="B28" s="29"/>
      <c r="C28" s="30"/>
      <c r="D28" s="29"/>
      <c r="E28" s="29"/>
      <c r="F28" s="28"/>
      <c r="G28" s="29" t="str">
        <f t="shared" ca="1" si="0"/>
        <v/>
      </c>
      <c r="H28" s="45" t="str">
        <f t="shared" ca="1" si="1"/>
        <v/>
      </c>
      <c r="I28" s="32"/>
    </row>
    <row r="29" spans="1:9">
      <c r="A29" s="28"/>
      <c r="B29" s="29"/>
      <c r="C29" s="30"/>
      <c r="D29" s="29"/>
      <c r="E29" s="29"/>
      <c r="F29" s="28"/>
      <c r="G29" s="29" t="str">
        <f t="shared" ca="1" si="0"/>
        <v/>
      </c>
      <c r="H29" s="45" t="str">
        <f t="shared" ca="1" si="1"/>
        <v/>
      </c>
      <c r="I29" s="32"/>
    </row>
    <row r="30" spans="1:9">
      <c r="A30" s="28"/>
      <c r="B30" s="29"/>
      <c r="C30" s="30"/>
      <c r="D30" s="29"/>
      <c r="E30" s="29"/>
      <c r="F30" s="28"/>
      <c r="G30" s="29" t="str">
        <f t="shared" ca="1" si="0"/>
        <v/>
      </c>
      <c r="H30" s="45" t="str">
        <f t="shared" ca="1" si="1"/>
        <v/>
      </c>
      <c r="I30" s="32"/>
    </row>
    <row r="31" spans="1:9">
      <c r="A31" s="28"/>
      <c r="B31" s="29"/>
      <c r="C31" s="30"/>
      <c r="D31" s="29"/>
      <c r="E31" s="29"/>
      <c r="F31" s="28"/>
      <c r="G31" s="29" t="str">
        <f t="shared" ca="1" si="0"/>
        <v/>
      </c>
      <c r="H31" s="45" t="str">
        <f t="shared" ca="1" si="1"/>
        <v/>
      </c>
      <c r="I31" s="32"/>
    </row>
    <row r="32" spans="1:9">
      <c r="A32" s="28"/>
      <c r="B32" s="29"/>
      <c r="C32" s="30"/>
      <c r="D32" s="29"/>
      <c r="E32" s="29"/>
      <c r="F32" s="28"/>
      <c r="G32" s="29" t="str">
        <f t="shared" ca="1" si="0"/>
        <v/>
      </c>
      <c r="H32" s="45" t="str">
        <f t="shared" ca="1" si="1"/>
        <v/>
      </c>
      <c r="I32" s="32"/>
    </row>
    <row r="33" spans="1:9">
      <c r="A33" s="28"/>
      <c r="B33" s="29"/>
      <c r="C33" s="30"/>
      <c r="D33" s="29"/>
      <c r="E33" s="29"/>
      <c r="F33" s="28"/>
      <c r="G33" s="29" t="str">
        <f t="shared" ca="1" si="0"/>
        <v/>
      </c>
      <c r="H33" s="45" t="str">
        <f t="shared" ca="1" si="1"/>
        <v/>
      </c>
      <c r="I33" s="32"/>
    </row>
    <row r="34" spans="1:9">
      <c r="A34" s="28"/>
      <c r="B34" s="29"/>
      <c r="C34" s="30"/>
      <c r="D34" s="29"/>
      <c r="E34" s="29"/>
      <c r="F34" s="28"/>
      <c r="G34" s="29" t="str">
        <f t="shared" ca="1" si="0"/>
        <v/>
      </c>
      <c r="H34" s="45" t="str">
        <f t="shared" ca="1" si="1"/>
        <v/>
      </c>
      <c r="I34" s="32"/>
    </row>
    <row r="35" spans="1:9">
      <c r="A35" s="28"/>
      <c r="B35" s="29"/>
      <c r="C35" s="30"/>
      <c r="D35" s="29"/>
      <c r="E35" s="29"/>
      <c r="F35" s="28"/>
      <c r="G35" s="29" t="str">
        <f t="shared" ca="1" si="0"/>
        <v/>
      </c>
      <c r="H35" s="45" t="str">
        <f t="shared" ca="1" si="1"/>
        <v/>
      </c>
      <c r="I35" s="32"/>
    </row>
    <row r="36" spans="1:9">
      <c r="A36" s="28"/>
      <c r="B36" s="29"/>
      <c r="C36" s="30"/>
      <c r="D36" s="29"/>
      <c r="E36" s="29"/>
      <c r="F36" s="28"/>
      <c r="G36" s="29" t="str">
        <f t="shared" ca="1" si="0"/>
        <v/>
      </c>
      <c r="H36" s="45" t="str">
        <f t="shared" ca="1" si="1"/>
        <v/>
      </c>
      <c r="I36" s="32"/>
    </row>
    <row r="37" spans="1:9">
      <c r="A37" s="28"/>
      <c r="B37" s="29"/>
      <c r="C37" s="30"/>
      <c r="D37" s="29"/>
      <c r="E37" s="29"/>
      <c r="F37" s="28"/>
      <c r="G37" s="29" t="str">
        <f t="shared" ca="1" si="0"/>
        <v/>
      </c>
      <c r="H37" s="45" t="str">
        <f t="shared" ca="1" si="1"/>
        <v/>
      </c>
      <c r="I37" s="32"/>
    </row>
    <row r="38" spans="1:9">
      <c r="A38" s="28"/>
      <c r="B38" s="29"/>
      <c r="C38" s="30"/>
      <c r="D38" s="29"/>
      <c r="E38" s="29"/>
      <c r="F38" s="28"/>
      <c r="G38" s="29" t="str">
        <f t="shared" ca="1" si="0"/>
        <v/>
      </c>
      <c r="H38" s="45" t="str">
        <f t="shared" ca="1" si="1"/>
        <v/>
      </c>
      <c r="I38" s="32"/>
    </row>
    <row r="39" spans="1:9">
      <c r="A39" s="28"/>
      <c r="B39" s="29"/>
      <c r="C39" s="30"/>
      <c r="D39" s="29"/>
      <c r="E39" s="29"/>
      <c r="F39" s="28"/>
      <c r="G39" s="29" t="str">
        <f t="shared" ca="1" si="0"/>
        <v/>
      </c>
      <c r="H39" s="45" t="str">
        <f t="shared" ca="1" si="1"/>
        <v/>
      </c>
      <c r="I39" s="32"/>
    </row>
    <row r="40" spans="1:9">
      <c r="A40" s="28"/>
      <c r="B40" s="29"/>
      <c r="C40" s="30"/>
      <c r="D40" s="29"/>
      <c r="E40" s="29"/>
      <c r="F40" s="28"/>
      <c r="G40" s="29" t="str">
        <f t="shared" ca="1" si="0"/>
        <v/>
      </c>
      <c r="H40" s="45" t="str">
        <f t="shared" ca="1" si="1"/>
        <v/>
      </c>
      <c r="I40" s="32"/>
    </row>
    <row r="41" spans="1:9">
      <c r="A41" s="28"/>
      <c r="B41" s="29"/>
      <c r="C41" s="30"/>
      <c r="D41" s="29"/>
      <c r="E41" s="29"/>
      <c r="F41" s="28"/>
      <c r="G41" s="29" t="str">
        <f t="shared" ca="1" si="0"/>
        <v/>
      </c>
      <c r="H41" s="45" t="str">
        <f t="shared" ca="1" si="1"/>
        <v/>
      </c>
      <c r="I41" s="32"/>
    </row>
    <row r="42" spans="1:9">
      <c r="A42" s="28"/>
      <c r="B42" s="29"/>
      <c r="C42" s="30"/>
      <c r="D42" s="29"/>
      <c r="E42" s="29"/>
      <c r="F42" s="28"/>
      <c r="G42" s="29" t="str">
        <f t="shared" ca="1" si="0"/>
        <v/>
      </c>
      <c r="H42" s="45" t="str">
        <f t="shared" ca="1" si="1"/>
        <v/>
      </c>
      <c r="I42" s="32"/>
    </row>
    <row r="43" spans="1:9">
      <c r="A43" s="28"/>
      <c r="B43" s="29"/>
      <c r="C43" s="30"/>
      <c r="D43" s="29"/>
      <c r="E43" s="29"/>
      <c r="F43" s="28"/>
      <c r="G43" s="29" t="str">
        <f t="shared" ca="1" si="0"/>
        <v/>
      </c>
      <c r="H43" s="45" t="str">
        <f t="shared" ca="1" si="1"/>
        <v/>
      </c>
      <c r="I43" s="32"/>
    </row>
    <row r="44" spans="1:9">
      <c r="A44" s="28"/>
      <c r="B44" s="29"/>
      <c r="C44" s="30"/>
      <c r="D44" s="29"/>
      <c r="E44" s="29"/>
      <c r="F44" s="28"/>
      <c r="G44" s="29" t="str">
        <f t="shared" ca="1" si="0"/>
        <v/>
      </c>
      <c r="H44" s="45" t="str">
        <f t="shared" ca="1" si="1"/>
        <v/>
      </c>
      <c r="I44" s="32"/>
    </row>
    <row r="45" spans="1:9">
      <c r="A45" s="28"/>
      <c r="B45" s="29"/>
      <c r="C45" s="30"/>
      <c r="D45" s="29"/>
      <c r="E45" s="29"/>
      <c r="F45" s="28"/>
      <c r="G45" s="29" t="str">
        <f t="shared" ca="1" si="0"/>
        <v/>
      </c>
      <c r="H45" s="45" t="str">
        <f t="shared" ca="1" si="1"/>
        <v/>
      </c>
      <c r="I45" s="32"/>
    </row>
    <row r="46" spans="1:9">
      <c r="A46" s="28"/>
      <c r="B46" s="29"/>
      <c r="C46" s="30"/>
      <c r="D46" s="29"/>
      <c r="E46" s="29"/>
      <c r="F46" s="28"/>
      <c r="G46" s="29" t="str">
        <f t="shared" ca="1" si="0"/>
        <v/>
      </c>
      <c r="H46" s="45" t="str">
        <f t="shared" ca="1" si="1"/>
        <v/>
      </c>
      <c r="I46" s="32"/>
    </row>
    <row r="47" spans="1:9">
      <c r="A47" s="28"/>
      <c r="B47" s="29"/>
      <c r="C47" s="30"/>
      <c r="D47" s="29"/>
      <c r="E47" s="29"/>
      <c r="F47" s="28"/>
      <c r="G47" s="29" t="str">
        <f t="shared" ca="1" si="0"/>
        <v/>
      </c>
      <c r="H47" s="45" t="str">
        <f t="shared" ca="1" si="1"/>
        <v/>
      </c>
      <c r="I47" s="32"/>
    </row>
    <row r="48" spans="1:9">
      <c r="A48" s="28"/>
      <c r="B48" s="29"/>
      <c r="C48" s="30"/>
      <c r="D48" s="29"/>
      <c r="E48" s="29"/>
      <c r="F48" s="28"/>
      <c r="G48" s="29" t="str">
        <f t="shared" ca="1" si="0"/>
        <v/>
      </c>
      <c r="H48" s="45" t="str">
        <f t="shared" ca="1" si="1"/>
        <v/>
      </c>
      <c r="I48" s="32"/>
    </row>
    <row r="49" spans="1:9">
      <c r="A49" s="28"/>
      <c r="B49" s="29"/>
      <c r="C49" s="30"/>
      <c r="D49" s="29"/>
      <c r="E49" s="29"/>
      <c r="F49" s="28"/>
      <c r="G49" s="29" t="str">
        <f t="shared" ca="1" si="0"/>
        <v/>
      </c>
      <c r="H49" s="45" t="str">
        <f t="shared" ca="1" si="1"/>
        <v/>
      </c>
      <c r="I49" s="32"/>
    </row>
    <row r="50" spans="1:9">
      <c r="A50" s="28"/>
      <c r="B50" s="29"/>
      <c r="C50" s="30"/>
      <c r="D50" s="29"/>
      <c r="E50" s="29"/>
      <c r="F50" s="28"/>
      <c r="G50" s="29" t="str">
        <f t="shared" ca="1" si="0"/>
        <v/>
      </c>
      <c r="H50" s="45" t="str">
        <f t="shared" ca="1" si="1"/>
        <v/>
      </c>
      <c r="I50" s="32"/>
    </row>
    <row r="51" spans="1:9">
      <c r="A51" s="28"/>
      <c r="B51" s="29"/>
      <c r="C51" s="30"/>
      <c r="D51" s="29"/>
      <c r="E51" s="29"/>
      <c r="F51" s="28"/>
      <c r="G51" s="29" t="str">
        <f t="shared" ca="1" si="0"/>
        <v/>
      </c>
      <c r="H51" s="45" t="str">
        <f t="shared" ca="1" si="1"/>
        <v/>
      </c>
      <c r="I51" s="32"/>
    </row>
    <row r="52" spans="1:9">
      <c r="A52" s="28"/>
      <c r="B52" s="29"/>
      <c r="C52" s="30"/>
      <c r="D52" s="29"/>
      <c r="E52" s="29"/>
      <c r="F52" s="28"/>
      <c r="G52" s="29" t="str">
        <f t="shared" ca="1" si="0"/>
        <v/>
      </c>
      <c r="H52" s="45" t="str">
        <f t="shared" ca="1" si="1"/>
        <v/>
      </c>
      <c r="I52" s="32"/>
    </row>
    <row r="53" spans="1:9">
      <c r="A53" s="28"/>
      <c r="B53" s="29"/>
      <c r="C53" s="30"/>
      <c r="D53" s="29"/>
      <c r="E53" s="29"/>
      <c r="F53" s="28"/>
      <c r="G53" s="29" t="str">
        <f t="shared" ca="1" si="0"/>
        <v/>
      </c>
      <c r="H53" s="45" t="str">
        <f t="shared" ca="1" si="1"/>
        <v/>
      </c>
      <c r="I53" s="32"/>
    </row>
    <row r="54" spans="1:9">
      <c r="A54" s="28"/>
      <c r="B54" s="29"/>
      <c r="C54" s="30"/>
      <c r="D54" s="29"/>
      <c r="E54" s="29"/>
      <c r="F54" s="28"/>
      <c r="G54" s="29" t="str">
        <f t="shared" ca="1" si="0"/>
        <v/>
      </c>
      <c r="H54" s="45" t="str">
        <f t="shared" ca="1" si="1"/>
        <v/>
      </c>
      <c r="I54" s="32"/>
    </row>
    <row r="55" spans="1:9">
      <c r="A55" s="28"/>
      <c r="B55" s="29"/>
      <c r="C55" s="30"/>
      <c r="D55" s="29"/>
      <c r="E55" s="29"/>
      <c r="F55" s="28"/>
      <c r="G55" s="29" t="str">
        <f t="shared" ca="1" si="0"/>
        <v/>
      </c>
      <c r="H55" s="45" t="str">
        <f t="shared" ca="1" si="1"/>
        <v/>
      </c>
      <c r="I55" s="32"/>
    </row>
    <row r="56" spans="1:9">
      <c r="A56" s="28"/>
      <c r="B56" s="29"/>
      <c r="C56" s="30"/>
      <c r="D56" s="29"/>
      <c r="E56" s="29"/>
      <c r="F56" s="28"/>
      <c r="G56" s="29" t="str">
        <f t="shared" ca="1" si="0"/>
        <v/>
      </c>
      <c r="H56" s="45" t="str">
        <f t="shared" ca="1" si="1"/>
        <v/>
      </c>
      <c r="I56" s="32"/>
    </row>
    <row r="57" spans="1:9">
      <c r="A57" s="28"/>
      <c r="B57" s="29"/>
      <c r="C57" s="30"/>
      <c r="D57" s="29"/>
      <c r="E57" s="29"/>
      <c r="F57" s="28"/>
      <c r="G57" s="29" t="str">
        <f t="shared" ca="1" si="0"/>
        <v/>
      </c>
      <c r="H57" s="45" t="str">
        <f t="shared" ca="1" si="1"/>
        <v/>
      </c>
      <c r="I57" s="32"/>
    </row>
    <row r="58" spans="1:9">
      <c r="A58" s="28"/>
      <c r="B58" s="29"/>
      <c r="C58" s="30"/>
      <c r="D58" s="29"/>
      <c r="E58" s="29"/>
      <c r="F58" s="28"/>
      <c r="G58" s="29" t="str">
        <f t="shared" ca="1" si="0"/>
        <v/>
      </c>
      <c r="H58" s="45" t="str">
        <f t="shared" ca="1" si="1"/>
        <v/>
      </c>
      <c r="I58" s="32"/>
    </row>
    <row r="59" spans="1:9">
      <c r="A59" s="28"/>
      <c r="B59" s="29"/>
      <c r="C59" s="30"/>
      <c r="D59" s="29"/>
      <c r="E59" s="29"/>
      <c r="F59" s="28"/>
      <c r="G59" s="29" t="str">
        <f t="shared" ca="1" si="0"/>
        <v/>
      </c>
      <c r="H59" s="45" t="str">
        <f t="shared" ca="1" si="1"/>
        <v/>
      </c>
      <c r="I59" s="32"/>
    </row>
    <row r="60" spans="1:9">
      <c r="A60" s="28"/>
      <c r="B60" s="29"/>
      <c r="C60" s="30"/>
      <c r="D60" s="29"/>
      <c r="E60" s="29"/>
      <c r="F60" s="28"/>
      <c r="G60" s="29" t="str">
        <f t="shared" ca="1" si="0"/>
        <v/>
      </c>
      <c r="H60" s="45" t="str">
        <f t="shared" ca="1" si="1"/>
        <v/>
      </c>
      <c r="I60" s="32"/>
    </row>
    <row r="61" spans="1:9">
      <c r="A61" s="28"/>
      <c r="B61" s="29"/>
      <c r="C61" s="30"/>
      <c r="D61" s="29"/>
      <c r="E61" s="29"/>
      <c r="F61" s="28"/>
      <c r="G61" s="29" t="str">
        <f t="shared" ca="1" si="0"/>
        <v/>
      </c>
      <c r="H61" s="45" t="str">
        <f t="shared" ca="1" si="1"/>
        <v/>
      </c>
      <c r="I61" s="32"/>
    </row>
    <row r="62" spans="1:9">
      <c r="A62" s="28"/>
      <c r="B62" s="29"/>
      <c r="C62" s="30"/>
      <c r="D62" s="29"/>
      <c r="E62" s="29"/>
      <c r="F62" s="28"/>
      <c r="G62" s="29" t="str">
        <f t="shared" ca="1" si="0"/>
        <v/>
      </c>
      <c r="H62" s="45" t="str">
        <f t="shared" ca="1" si="1"/>
        <v/>
      </c>
      <c r="I62" s="32"/>
    </row>
    <row r="63" spans="1:9">
      <c r="A63" s="28"/>
      <c r="B63" s="29"/>
      <c r="C63" s="30"/>
      <c r="D63" s="29"/>
      <c r="E63" s="29"/>
      <c r="F63" s="28"/>
      <c r="G63" s="29" t="str">
        <f t="shared" ca="1" si="0"/>
        <v/>
      </c>
      <c r="H63" s="45" t="str">
        <f t="shared" ca="1" si="1"/>
        <v/>
      </c>
      <c r="I63" s="32"/>
    </row>
    <row r="64" spans="1:9">
      <c r="A64" s="28"/>
      <c r="B64" s="29"/>
      <c r="C64" s="30"/>
      <c r="D64" s="29"/>
      <c r="E64" s="29"/>
      <c r="F64" s="28"/>
      <c r="G64" s="29" t="str">
        <f t="shared" ca="1" si="0"/>
        <v/>
      </c>
      <c r="H64" s="45" t="str">
        <f t="shared" ca="1" si="1"/>
        <v/>
      </c>
      <c r="I64" s="32"/>
    </row>
    <row r="65" spans="1:9">
      <c r="A65" s="28"/>
      <c r="B65" s="29"/>
      <c r="C65" s="30"/>
      <c r="D65" s="29"/>
      <c r="E65" s="29"/>
      <c r="F65" s="28"/>
      <c r="G65" s="29" t="str">
        <f t="shared" ca="1" si="0"/>
        <v/>
      </c>
      <c r="H65" s="45" t="str">
        <f t="shared" ca="1" si="1"/>
        <v/>
      </c>
      <c r="I65" s="32"/>
    </row>
    <row r="66" spans="1:9">
      <c r="A66" s="28"/>
      <c r="B66" s="29"/>
      <c r="C66" s="30"/>
      <c r="D66" s="29"/>
      <c r="E66" s="29"/>
      <c r="F66" s="28"/>
      <c r="G66" s="29" t="str">
        <f t="shared" ref="G66:G129" ca="1" si="2">IF(A66="","",IF(F66="","Sin vencimiento",IF(F66&lt;TODAY(),"Vencida",IF(F66&lt;=TODAY()+30,"Por vencer","Vigente"))))</f>
        <v/>
      </c>
      <c r="H66" s="45" t="str">
        <f t="shared" ref="H66:H129" ca="1" si="3">IF(A66="","",IF(F66="","",F66-TODAY()))</f>
        <v/>
      </c>
      <c r="I66" s="32"/>
    </row>
    <row r="67" spans="1:9">
      <c r="A67" s="28"/>
      <c r="B67" s="29"/>
      <c r="C67" s="30"/>
      <c r="D67" s="29"/>
      <c r="E67" s="29"/>
      <c r="F67" s="28"/>
      <c r="G67" s="29" t="str">
        <f t="shared" ca="1" si="2"/>
        <v/>
      </c>
      <c r="H67" s="45" t="str">
        <f t="shared" ca="1" si="3"/>
        <v/>
      </c>
      <c r="I67" s="32"/>
    </row>
    <row r="68" spans="1:9">
      <c r="A68" s="28"/>
      <c r="B68" s="29"/>
      <c r="C68" s="30"/>
      <c r="D68" s="29"/>
      <c r="E68" s="29"/>
      <c r="F68" s="28"/>
      <c r="G68" s="29" t="str">
        <f t="shared" ca="1" si="2"/>
        <v/>
      </c>
      <c r="H68" s="45" t="str">
        <f t="shared" ca="1" si="3"/>
        <v/>
      </c>
      <c r="I68" s="32"/>
    </row>
    <row r="69" spans="1:9">
      <c r="A69" s="28"/>
      <c r="B69" s="29"/>
      <c r="C69" s="30"/>
      <c r="D69" s="29"/>
      <c r="E69" s="29"/>
      <c r="F69" s="28"/>
      <c r="G69" s="29" t="str">
        <f t="shared" ca="1" si="2"/>
        <v/>
      </c>
      <c r="H69" s="45" t="str">
        <f t="shared" ca="1" si="3"/>
        <v/>
      </c>
      <c r="I69" s="32"/>
    </row>
    <row r="70" spans="1:9">
      <c r="A70" s="28"/>
      <c r="B70" s="29"/>
      <c r="C70" s="30"/>
      <c r="D70" s="29"/>
      <c r="E70" s="29"/>
      <c r="F70" s="28"/>
      <c r="G70" s="29" t="str">
        <f t="shared" ca="1" si="2"/>
        <v/>
      </c>
      <c r="H70" s="45" t="str">
        <f t="shared" ca="1" si="3"/>
        <v/>
      </c>
      <c r="I70" s="32"/>
    </row>
    <row r="71" spans="1:9">
      <c r="A71" s="28"/>
      <c r="B71" s="29"/>
      <c r="C71" s="30"/>
      <c r="D71" s="29"/>
      <c r="E71" s="29"/>
      <c r="F71" s="28"/>
      <c r="G71" s="29" t="str">
        <f t="shared" ca="1" si="2"/>
        <v/>
      </c>
      <c r="H71" s="45" t="str">
        <f t="shared" ca="1" si="3"/>
        <v/>
      </c>
      <c r="I71" s="32"/>
    </row>
    <row r="72" spans="1:9">
      <c r="A72" s="28"/>
      <c r="B72" s="29"/>
      <c r="C72" s="30"/>
      <c r="D72" s="29"/>
      <c r="E72" s="29"/>
      <c r="F72" s="28"/>
      <c r="G72" s="29" t="str">
        <f t="shared" ca="1" si="2"/>
        <v/>
      </c>
      <c r="H72" s="45" t="str">
        <f t="shared" ca="1" si="3"/>
        <v/>
      </c>
      <c r="I72" s="32"/>
    </row>
    <row r="73" spans="1:9">
      <c r="A73" s="28"/>
      <c r="B73" s="29"/>
      <c r="C73" s="30"/>
      <c r="D73" s="29"/>
      <c r="E73" s="29"/>
      <c r="F73" s="28"/>
      <c r="G73" s="29" t="str">
        <f t="shared" ca="1" si="2"/>
        <v/>
      </c>
      <c r="H73" s="45" t="str">
        <f t="shared" ca="1" si="3"/>
        <v/>
      </c>
      <c r="I73" s="32"/>
    </row>
    <row r="74" spans="1:9">
      <c r="A74" s="28"/>
      <c r="B74" s="29"/>
      <c r="C74" s="30"/>
      <c r="D74" s="29"/>
      <c r="E74" s="29"/>
      <c r="F74" s="28"/>
      <c r="G74" s="29" t="str">
        <f t="shared" ca="1" si="2"/>
        <v/>
      </c>
      <c r="H74" s="45" t="str">
        <f t="shared" ca="1" si="3"/>
        <v/>
      </c>
      <c r="I74" s="32"/>
    </row>
    <row r="75" spans="1:9">
      <c r="A75" s="28"/>
      <c r="B75" s="29"/>
      <c r="C75" s="30"/>
      <c r="D75" s="29"/>
      <c r="E75" s="29"/>
      <c r="F75" s="28"/>
      <c r="G75" s="29" t="str">
        <f t="shared" ca="1" si="2"/>
        <v/>
      </c>
      <c r="H75" s="45" t="str">
        <f t="shared" ca="1" si="3"/>
        <v/>
      </c>
      <c r="I75" s="32"/>
    </row>
    <row r="76" spans="1:9">
      <c r="A76" s="28"/>
      <c r="B76" s="29"/>
      <c r="C76" s="30"/>
      <c r="D76" s="29"/>
      <c r="E76" s="29"/>
      <c r="F76" s="28"/>
      <c r="G76" s="29" t="str">
        <f t="shared" ca="1" si="2"/>
        <v/>
      </c>
      <c r="H76" s="45" t="str">
        <f t="shared" ca="1" si="3"/>
        <v/>
      </c>
      <c r="I76" s="32"/>
    </row>
    <row r="77" spans="1:9">
      <c r="A77" s="28"/>
      <c r="B77" s="29"/>
      <c r="C77" s="30"/>
      <c r="D77" s="29"/>
      <c r="E77" s="29"/>
      <c r="F77" s="28"/>
      <c r="G77" s="29" t="str">
        <f t="shared" ca="1" si="2"/>
        <v/>
      </c>
      <c r="H77" s="45" t="str">
        <f t="shared" ca="1" si="3"/>
        <v/>
      </c>
      <c r="I77" s="32"/>
    </row>
    <row r="78" spans="1:9">
      <c r="A78" s="28"/>
      <c r="B78" s="29"/>
      <c r="C78" s="30"/>
      <c r="D78" s="29"/>
      <c r="E78" s="29"/>
      <c r="F78" s="28"/>
      <c r="G78" s="29" t="str">
        <f t="shared" ca="1" si="2"/>
        <v/>
      </c>
      <c r="H78" s="45" t="str">
        <f t="shared" ca="1" si="3"/>
        <v/>
      </c>
      <c r="I78" s="32"/>
    </row>
    <row r="79" spans="1:9">
      <c r="A79" s="28"/>
      <c r="B79" s="29"/>
      <c r="C79" s="30"/>
      <c r="D79" s="29"/>
      <c r="E79" s="29"/>
      <c r="F79" s="28"/>
      <c r="G79" s="29" t="str">
        <f t="shared" ca="1" si="2"/>
        <v/>
      </c>
      <c r="H79" s="45" t="str">
        <f t="shared" ca="1" si="3"/>
        <v/>
      </c>
      <c r="I79" s="32"/>
    </row>
    <row r="80" spans="1:9">
      <c r="A80" s="28"/>
      <c r="B80" s="29"/>
      <c r="C80" s="30"/>
      <c r="D80" s="29"/>
      <c r="E80" s="29"/>
      <c r="F80" s="28"/>
      <c r="G80" s="29" t="str">
        <f t="shared" ca="1" si="2"/>
        <v/>
      </c>
      <c r="H80" s="45" t="str">
        <f t="shared" ca="1" si="3"/>
        <v/>
      </c>
      <c r="I80" s="32"/>
    </row>
    <row r="81" spans="1:9">
      <c r="A81" s="28"/>
      <c r="B81" s="29"/>
      <c r="C81" s="30"/>
      <c r="D81" s="29"/>
      <c r="E81" s="29"/>
      <c r="F81" s="28"/>
      <c r="G81" s="29" t="str">
        <f t="shared" ca="1" si="2"/>
        <v/>
      </c>
      <c r="H81" s="45" t="str">
        <f t="shared" ca="1" si="3"/>
        <v/>
      </c>
      <c r="I81" s="32"/>
    </row>
    <row r="82" spans="1:9">
      <c r="A82" s="28"/>
      <c r="B82" s="29"/>
      <c r="C82" s="30"/>
      <c r="D82" s="29"/>
      <c r="E82" s="29"/>
      <c r="F82" s="28"/>
      <c r="G82" s="29" t="str">
        <f t="shared" ca="1" si="2"/>
        <v/>
      </c>
      <c r="H82" s="45" t="str">
        <f t="shared" ca="1" si="3"/>
        <v/>
      </c>
      <c r="I82" s="32"/>
    </row>
    <row r="83" spans="1:9">
      <c r="A83" s="28"/>
      <c r="B83" s="29"/>
      <c r="C83" s="30"/>
      <c r="D83" s="29"/>
      <c r="E83" s="29"/>
      <c r="F83" s="28"/>
      <c r="G83" s="29" t="str">
        <f t="shared" ca="1" si="2"/>
        <v/>
      </c>
      <c r="H83" s="45" t="str">
        <f t="shared" ca="1" si="3"/>
        <v/>
      </c>
      <c r="I83" s="32"/>
    </row>
    <row r="84" spans="1:9">
      <c r="A84" s="28"/>
      <c r="B84" s="29"/>
      <c r="C84" s="30"/>
      <c r="D84" s="29"/>
      <c r="E84" s="29"/>
      <c r="F84" s="28"/>
      <c r="G84" s="29" t="str">
        <f t="shared" ca="1" si="2"/>
        <v/>
      </c>
      <c r="H84" s="45" t="str">
        <f t="shared" ca="1" si="3"/>
        <v/>
      </c>
      <c r="I84" s="32"/>
    </row>
    <row r="85" spans="1:9">
      <c r="A85" s="28"/>
      <c r="B85" s="29"/>
      <c r="C85" s="30"/>
      <c r="D85" s="29"/>
      <c r="E85" s="29"/>
      <c r="F85" s="28"/>
      <c r="G85" s="29" t="str">
        <f t="shared" ca="1" si="2"/>
        <v/>
      </c>
      <c r="H85" s="45" t="str">
        <f t="shared" ca="1" si="3"/>
        <v/>
      </c>
      <c r="I85" s="32"/>
    </row>
    <row r="86" spans="1:9">
      <c r="A86" s="28"/>
      <c r="B86" s="29"/>
      <c r="C86" s="30"/>
      <c r="D86" s="29"/>
      <c r="E86" s="29"/>
      <c r="F86" s="28"/>
      <c r="G86" s="29" t="str">
        <f t="shared" ca="1" si="2"/>
        <v/>
      </c>
      <c r="H86" s="45" t="str">
        <f t="shared" ca="1" si="3"/>
        <v/>
      </c>
      <c r="I86" s="32"/>
    </row>
    <row r="87" spans="1:9">
      <c r="A87" s="28"/>
      <c r="B87" s="29"/>
      <c r="C87" s="30"/>
      <c r="D87" s="29"/>
      <c r="E87" s="29"/>
      <c r="F87" s="28"/>
      <c r="G87" s="29" t="str">
        <f t="shared" ca="1" si="2"/>
        <v/>
      </c>
      <c r="H87" s="45" t="str">
        <f t="shared" ca="1" si="3"/>
        <v/>
      </c>
      <c r="I87" s="32"/>
    </row>
    <row r="88" spans="1:9">
      <c r="A88" s="28"/>
      <c r="B88" s="29"/>
      <c r="C88" s="30"/>
      <c r="D88" s="29"/>
      <c r="E88" s="29"/>
      <c r="F88" s="28"/>
      <c r="G88" s="29" t="str">
        <f t="shared" ca="1" si="2"/>
        <v/>
      </c>
      <c r="H88" s="45" t="str">
        <f t="shared" ca="1" si="3"/>
        <v/>
      </c>
      <c r="I88" s="32"/>
    </row>
    <row r="89" spans="1:9">
      <c r="A89" s="28"/>
      <c r="B89" s="29"/>
      <c r="C89" s="30"/>
      <c r="D89" s="29"/>
      <c r="E89" s="29"/>
      <c r="F89" s="28"/>
      <c r="G89" s="29" t="str">
        <f t="shared" ca="1" si="2"/>
        <v/>
      </c>
      <c r="H89" s="45" t="str">
        <f t="shared" ca="1" si="3"/>
        <v/>
      </c>
      <c r="I89" s="32"/>
    </row>
    <row r="90" spans="1:9">
      <c r="A90" s="28"/>
      <c r="B90" s="29"/>
      <c r="C90" s="30"/>
      <c r="D90" s="29"/>
      <c r="E90" s="29"/>
      <c r="F90" s="28"/>
      <c r="G90" s="29" t="str">
        <f t="shared" ca="1" si="2"/>
        <v/>
      </c>
      <c r="H90" s="45" t="str">
        <f t="shared" ca="1" si="3"/>
        <v/>
      </c>
      <c r="I90" s="32"/>
    </row>
    <row r="91" spans="1:9">
      <c r="A91" s="28"/>
      <c r="B91" s="29"/>
      <c r="C91" s="30"/>
      <c r="D91" s="29"/>
      <c r="E91" s="29"/>
      <c r="F91" s="28"/>
      <c r="G91" s="29" t="str">
        <f t="shared" ca="1" si="2"/>
        <v/>
      </c>
      <c r="H91" s="45" t="str">
        <f t="shared" ca="1" si="3"/>
        <v/>
      </c>
      <c r="I91" s="32"/>
    </row>
    <row r="92" spans="1:9">
      <c r="A92" s="28"/>
      <c r="B92" s="29"/>
      <c r="C92" s="30"/>
      <c r="D92" s="29"/>
      <c r="E92" s="29"/>
      <c r="F92" s="28"/>
      <c r="G92" s="29" t="str">
        <f t="shared" ca="1" si="2"/>
        <v/>
      </c>
      <c r="H92" s="45" t="str">
        <f t="shared" ca="1" si="3"/>
        <v/>
      </c>
      <c r="I92" s="32"/>
    </row>
    <row r="93" spans="1:9">
      <c r="A93" s="28"/>
      <c r="B93" s="29"/>
      <c r="C93" s="30"/>
      <c r="D93" s="29"/>
      <c r="E93" s="29"/>
      <c r="F93" s="28"/>
      <c r="G93" s="29" t="str">
        <f t="shared" ca="1" si="2"/>
        <v/>
      </c>
      <c r="H93" s="45" t="str">
        <f t="shared" ca="1" si="3"/>
        <v/>
      </c>
      <c r="I93" s="32"/>
    </row>
    <row r="94" spans="1:9">
      <c r="A94" s="28"/>
      <c r="B94" s="29"/>
      <c r="C94" s="30"/>
      <c r="D94" s="29"/>
      <c r="E94" s="29"/>
      <c r="F94" s="28"/>
      <c r="G94" s="29" t="str">
        <f t="shared" ca="1" si="2"/>
        <v/>
      </c>
      <c r="H94" s="45" t="str">
        <f t="shared" ca="1" si="3"/>
        <v/>
      </c>
      <c r="I94" s="32"/>
    </row>
    <row r="95" spans="1:9">
      <c r="A95" s="28"/>
      <c r="B95" s="29"/>
      <c r="C95" s="30"/>
      <c r="D95" s="29"/>
      <c r="E95" s="29"/>
      <c r="F95" s="28"/>
      <c r="G95" s="29" t="str">
        <f t="shared" ca="1" si="2"/>
        <v/>
      </c>
      <c r="H95" s="45" t="str">
        <f t="shared" ca="1" si="3"/>
        <v/>
      </c>
      <c r="I95" s="32"/>
    </row>
    <row r="96" spans="1:9">
      <c r="A96" s="28"/>
      <c r="B96" s="29"/>
      <c r="C96" s="30"/>
      <c r="D96" s="29"/>
      <c r="E96" s="29"/>
      <c r="F96" s="28"/>
      <c r="G96" s="29" t="str">
        <f t="shared" ca="1" si="2"/>
        <v/>
      </c>
      <c r="H96" s="45" t="str">
        <f t="shared" ca="1" si="3"/>
        <v/>
      </c>
      <c r="I96" s="32"/>
    </row>
    <row r="97" spans="1:9">
      <c r="A97" s="28"/>
      <c r="B97" s="29"/>
      <c r="C97" s="30"/>
      <c r="D97" s="29"/>
      <c r="E97" s="29"/>
      <c r="F97" s="28"/>
      <c r="G97" s="29" t="str">
        <f t="shared" ca="1" si="2"/>
        <v/>
      </c>
      <c r="H97" s="45" t="str">
        <f t="shared" ca="1" si="3"/>
        <v/>
      </c>
      <c r="I97" s="32"/>
    </row>
    <row r="98" spans="1:9">
      <c r="A98" s="28"/>
      <c r="B98" s="29"/>
      <c r="C98" s="30"/>
      <c r="D98" s="29"/>
      <c r="E98" s="29"/>
      <c r="F98" s="28"/>
      <c r="G98" s="29" t="str">
        <f t="shared" ca="1" si="2"/>
        <v/>
      </c>
      <c r="H98" s="45" t="str">
        <f t="shared" ca="1" si="3"/>
        <v/>
      </c>
      <c r="I98" s="32"/>
    </row>
    <row r="99" spans="1:9">
      <c r="A99" s="28"/>
      <c r="B99" s="29"/>
      <c r="C99" s="30"/>
      <c r="D99" s="29"/>
      <c r="E99" s="29"/>
      <c r="F99" s="28"/>
      <c r="G99" s="29" t="str">
        <f t="shared" ca="1" si="2"/>
        <v/>
      </c>
      <c r="H99" s="45" t="str">
        <f t="shared" ca="1" si="3"/>
        <v/>
      </c>
      <c r="I99" s="32"/>
    </row>
    <row r="100" spans="1:9">
      <c r="A100" s="28"/>
      <c r="B100" s="29"/>
      <c r="C100" s="30"/>
      <c r="D100" s="29"/>
      <c r="E100" s="29"/>
      <c r="F100" s="28"/>
      <c r="G100" s="29" t="str">
        <f t="shared" ca="1" si="2"/>
        <v/>
      </c>
      <c r="H100" s="45" t="str">
        <f t="shared" ca="1" si="3"/>
        <v/>
      </c>
      <c r="I100" s="32"/>
    </row>
    <row r="101" spans="1:9">
      <c r="A101" s="28"/>
      <c r="B101" s="29"/>
      <c r="C101" s="30"/>
      <c r="D101" s="29"/>
      <c r="E101" s="29"/>
      <c r="F101" s="28"/>
      <c r="G101" s="29" t="str">
        <f t="shared" ca="1" si="2"/>
        <v/>
      </c>
      <c r="H101" s="45" t="str">
        <f t="shared" ca="1" si="3"/>
        <v/>
      </c>
      <c r="I101" s="32"/>
    </row>
    <row r="102" spans="1:9">
      <c r="A102" s="28"/>
      <c r="B102" s="29"/>
      <c r="C102" s="30"/>
      <c r="D102" s="29"/>
      <c r="E102" s="29"/>
      <c r="F102" s="28"/>
      <c r="G102" s="29" t="str">
        <f t="shared" ca="1" si="2"/>
        <v/>
      </c>
      <c r="H102" s="45" t="str">
        <f t="shared" ca="1" si="3"/>
        <v/>
      </c>
      <c r="I102" s="32"/>
    </row>
    <row r="103" spans="1:9">
      <c r="A103" s="28"/>
      <c r="B103" s="29"/>
      <c r="C103" s="30"/>
      <c r="D103" s="29"/>
      <c r="E103" s="29"/>
      <c r="F103" s="28"/>
      <c r="G103" s="29" t="str">
        <f t="shared" ca="1" si="2"/>
        <v/>
      </c>
      <c r="H103" s="45" t="str">
        <f t="shared" ca="1" si="3"/>
        <v/>
      </c>
      <c r="I103" s="32"/>
    </row>
    <row r="104" spans="1:9">
      <c r="A104" s="28"/>
      <c r="B104" s="29"/>
      <c r="C104" s="30"/>
      <c r="D104" s="29"/>
      <c r="E104" s="29"/>
      <c r="F104" s="28"/>
      <c r="G104" s="29" t="str">
        <f t="shared" ca="1" si="2"/>
        <v/>
      </c>
      <c r="H104" s="45" t="str">
        <f t="shared" ca="1" si="3"/>
        <v/>
      </c>
      <c r="I104" s="32"/>
    </row>
    <row r="105" spans="1:9">
      <c r="A105" s="28"/>
      <c r="B105" s="29"/>
      <c r="C105" s="30"/>
      <c r="D105" s="29"/>
      <c r="E105" s="29"/>
      <c r="F105" s="28"/>
      <c r="G105" s="29" t="str">
        <f t="shared" ca="1" si="2"/>
        <v/>
      </c>
      <c r="H105" s="45" t="str">
        <f t="shared" ca="1" si="3"/>
        <v/>
      </c>
      <c r="I105" s="32"/>
    </row>
    <row r="106" spans="1:9">
      <c r="A106" s="28"/>
      <c r="B106" s="29"/>
      <c r="C106" s="30"/>
      <c r="D106" s="29"/>
      <c r="E106" s="29"/>
      <c r="F106" s="28"/>
      <c r="G106" s="29" t="str">
        <f t="shared" ca="1" si="2"/>
        <v/>
      </c>
      <c r="H106" s="45" t="str">
        <f t="shared" ca="1" si="3"/>
        <v/>
      </c>
      <c r="I106" s="32"/>
    </row>
    <row r="107" spans="1:9">
      <c r="A107" s="28"/>
      <c r="B107" s="29"/>
      <c r="C107" s="30"/>
      <c r="D107" s="29"/>
      <c r="E107" s="29"/>
      <c r="F107" s="28"/>
      <c r="G107" s="29" t="str">
        <f t="shared" ca="1" si="2"/>
        <v/>
      </c>
      <c r="H107" s="45" t="str">
        <f t="shared" ca="1" si="3"/>
        <v/>
      </c>
      <c r="I107" s="32"/>
    </row>
    <row r="108" spans="1:9">
      <c r="A108" s="28"/>
      <c r="B108" s="29"/>
      <c r="C108" s="30"/>
      <c r="D108" s="29"/>
      <c r="E108" s="29"/>
      <c r="F108" s="28"/>
      <c r="G108" s="29" t="str">
        <f t="shared" ca="1" si="2"/>
        <v/>
      </c>
      <c r="H108" s="45" t="str">
        <f t="shared" ca="1" si="3"/>
        <v/>
      </c>
      <c r="I108" s="32"/>
    </row>
    <row r="109" spans="1:9">
      <c r="A109" s="28"/>
      <c r="B109" s="29"/>
      <c r="C109" s="30"/>
      <c r="D109" s="29"/>
      <c r="E109" s="29"/>
      <c r="F109" s="28"/>
      <c r="G109" s="29" t="str">
        <f t="shared" ca="1" si="2"/>
        <v/>
      </c>
      <c r="H109" s="45" t="str">
        <f t="shared" ca="1" si="3"/>
        <v/>
      </c>
      <c r="I109" s="32"/>
    </row>
    <row r="110" spans="1:9">
      <c r="A110" s="28"/>
      <c r="B110" s="29"/>
      <c r="C110" s="30"/>
      <c r="D110" s="29"/>
      <c r="E110" s="29"/>
      <c r="F110" s="28"/>
      <c r="G110" s="29" t="str">
        <f t="shared" ca="1" si="2"/>
        <v/>
      </c>
      <c r="H110" s="45" t="str">
        <f t="shared" ca="1" si="3"/>
        <v/>
      </c>
      <c r="I110" s="32"/>
    </row>
    <row r="111" spans="1:9">
      <c r="A111" s="28"/>
      <c r="B111" s="29"/>
      <c r="C111" s="30"/>
      <c r="D111" s="29"/>
      <c r="E111" s="29"/>
      <c r="F111" s="28"/>
      <c r="G111" s="29" t="str">
        <f t="shared" ca="1" si="2"/>
        <v/>
      </c>
      <c r="H111" s="45" t="str">
        <f t="shared" ca="1" si="3"/>
        <v/>
      </c>
      <c r="I111" s="32"/>
    </row>
    <row r="112" spans="1:9">
      <c r="A112" s="28"/>
      <c r="B112" s="29"/>
      <c r="C112" s="30"/>
      <c r="D112" s="29"/>
      <c r="E112" s="29"/>
      <c r="F112" s="28"/>
      <c r="G112" s="29" t="str">
        <f t="shared" ca="1" si="2"/>
        <v/>
      </c>
      <c r="H112" s="45" t="str">
        <f t="shared" ca="1" si="3"/>
        <v/>
      </c>
      <c r="I112" s="32"/>
    </row>
    <row r="113" spans="1:9">
      <c r="A113" s="28"/>
      <c r="B113" s="29"/>
      <c r="C113" s="30"/>
      <c r="D113" s="29"/>
      <c r="E113" s="29"/>
      <c r="F113" s="28"/>
      <c r="G113" s="29" t="str">
        <f t="shared" ca="1" si="2"/>
        <v/>
      </c>
      <c r="H113" s="45" t="str">
        <f t="shared" ca="1" si="3"/>
        <v/>
      </c>
      <c r="I113" s="32"/>
    </row>
    <row r="114" spans="1:9">
      <c r="A114" s="28"/>
      <c r="B114" s="29"/>
      <c r="C114" s="30"/>
      <c r="D114" s="29"/>
      <c r="E114" s="29"/>
      <c r="F114" s="28"/>
      <c r="G114" s="29" t="str">
        <f t="shared" ca="1" si="2"/>
        <v/>
      </c>
      <c r="H114" s="45" t="str">
        <f t="shared" ca="1" si="3"/>
        <v/>
      </c>
      <c r="I114" s="32"/>
    </row>
    <row r="115" spans="1:9">
      <c r="A115" s="28"/>
      <c r="B115" s="29"/>
      <c r="C115" s="30"/>
      <c r="D115" s="29"/>
      <c r="E115" s="29"/>
      <c r="F115" s="28"/>
      <c r="G115" s="29" t="str">
        <f t="shared" ca="1" si="2"/>
        <v/>
      </c>
      <c r="H115" s="45" t="str">
        <f t="shared" ca="1" si="3"/>
        <v/>
      </c>
      <c r="I115" s="32"/>
    </row>
    <row r="116" spans="1:9">
      <c r="A116" s="28"/>
      <c r="B116" s="29"/>
      <c r="C116" s="30"/>
      <c r="D116" s="29"/>
      <c r="E116" s="29"/>
      <c r="F116" s="28"/>
      <c r="G116" s="29" t="str">
        <f t="shared" ca="1" si="2"/>
        <v/>
      </c>
      <c r="H116" s="45" t="str">
        <f t="shared" ca="1" si="3"/>
        <v/>
      </c>
      <c r="I116" s="32"/>
    </row>
    <row r="117" spans="1:9">
      <c r="A117" s="28"/>
      <c r="B117" s="29"/>
      <c r="C117" s="30"/>
      <c r="D117" s="29"/>
      <c r="E117" s="29"/>
      <c r="F117" s="28"/>
      <c r="G117" s="29" t="str">
        <f t="shared" ca="1" si="2"/>
        <v/>
      </c>
      <c r="H117" s="45" t="str">
        <f t="shared" ca="1" si="3"/>
        <v/>
      </c>
      <c r="I117" s="32"/>
    </row>
    <row r="118" spans="1:9">
      <c r="A118" s="28"/>
      <c r="B118" s="29"/>
      <c r="C118" s="30"/>
      <c r="D118" s="29"/>
      <c r="E118" s="29"/>
      <c r="F118" s="28"/>
      <c r="G118" s="29" t="str">
        <f t="shared" ca="1" si="2"/>
        <v/>
      </c>
      <c r="H118" s="45" t="str">
        <f t="shared" ca="1" si="3"/>
        <v/>
      </c>
      <c r="I118" s="32"/>
    </row>
    <row r="119" spans="1:9">
      <c r="A119" s="28"/>
      <c r="B119" s="29"/>
      <c r="C119" s="30"/>
      <c r="D119" s="29"/>
      <c r="E119" s="29"/>
      <c r="F119" s="28"/>
      <c r="G119" s="29" t="str">
        <f t="shared" ca="1" si="2"/>
        <v/>
      </c>
      <c r="H119" s="45" t="str">
        <f t="shared" ca="1" si="3"/>
        <v/>
      </c>
      <c r="I119" s="32"/>
    </row>
    <row r="120" spans="1:9">
      <c r="A120" s="28"/>
      <c r="B120" s="29"/>
      <c r="C120" s="30"/>
      <c r="D120" s="29"/>
      <c r="E120" s="29"/>
      <c r="F120" s="28"/>
      <c r="G120" s="29" t="str">
        <f t="shared" ca="1" si="2"/>
        <v/>
      </c>
      <c r="H120" s="45" t="str">
        <f t="shared" ca="1" si="3"/>
        <v/>
      </c>
      <c r="I120" s="32"/>
    </row>
    <row r="121" spans="1:9">
      <c r="A121" s="28"/>
      <c r="B121" s="29"/>
      <c r="C121" s="30"/>
      <c r="D121" s="29"/>
      <c r="E121" s="29"/>
      <c r="F121" s="28"/>
      <c r="G121" s="29" t="str">
        <f t="shared" ca="1" si="2"/>
        <v/>
      </c>
      <c r="H121" s="45" t="str">
        <f t="shared" ca="1" si="3"/>
        <v/>
      </c>
      <c r="I121" s="32"/>
    </row>
    <row r="122" spans="1:9">
      <c r="A122" s="28"/>
      <c r="B122" s="29"/>
      <c r="C122" s="30"/>
      <c r="D122" s="29"/>
      <c r="E122" s="29"/>
      <c r="F122" s="28"/>
      <c r="G122" s="29" t="str">
        <f t="shared" ca="1" si="2"/>
        <v/>
      </c>
      <c r="H122" s="45" t="str">
        <f t="shared" ca="1" si="3"/>
        <v/>
      </c>
      <c r="I122" s="32"/>
    </row>
    <row r="123" spans="1:9">
      <c r="A123" s="28"/>
      <c r="B123" s="29"/>
      <c r="C123" s="30"/>
      <c r="D123" s="29"/>
      <c r="E123" s="29"/>
      <c r="F123" s="28"/>
      <c r="G123" s="29" t="str">
        <f t="shared" ca="1" si="2"/>
        <v/>
      </c>
      <c r="H123" s="45" t="str">
        <f t="shared" ca="1" si="3"/>
        <v/>
      </c>
      <c r="I123" s="32"/>
    </row>
    <row r="124" spans="1:9">
      <c r="A124" s="28"/>
      <c r="B124" s="29"/>
      <c r="C124" s="30"/>
      <c r="D124" s="29"/>
      <c r="E124" s="29"/>
      <c r="F124" s="28"/>
      <c r="G124" s="29" t="str">
        <f t="shared" ca="1" si="2"/>
        <v/>
      </c>
      <c r="H124" s="45" t="str">
        <f t="shared" ca="1" si="3"/>
        <v/>
      </c>
      <c r="I124" s="32"/>
    </row>
    <row r="125" spans="1:9">
      <c r="A125" s="28"/>
      <c r="B125" s="29"/>
      <c r="C125" s="30"/>
      <c r="D125" s="29"/>
      <c r="E125" s="29"/>
      <c r="F125" s="28"/>
      <c r="G125" s="29" t="str">
        <f t="shared" ca="1" si="2"/>
        <v/>
      </c>
      <c r="H125" s="45" t="str">
        <f t="shared" ca="1" si="3"/>
        <v/>
      </c>
      <c r="I125" s="32"/>
    </row>
    <row r="126" spans="1:9">
      <c r="A126" s="28"/>
      <c r="B126" s="29"/>
      <c r="C126" s="30"/>
      <c r="D126" s="29"/>
      <c r="E126" s="29"/>
      <c r="F126" s="28"/>
      <c r="G126" s="29" t="str">
        <f t="shared" ca="1" si="2"/>
        <v/>
      </c>
      <c r="H126" s="45" t="str">
        <f t="shared" ca="1" si="3"/>
        <v/>
      </c>
      <c r="I126" s="32"/>
    </row>
    <row r="127" spans="1:9">
      <c r="A127" s="28"/>
      <c r="B127" s="29"/>
      <c r="C127" s="30"/>
      <c r="D127" s="29"/>
      <c r="E127" s="29"/>
      <c r="F127" s="28"/>
      <c r="G127" s="29" t="str">
        <f t="shared" ca="1" si="2"/>
        <v/>
      </c>
      <c r="H127" s="45" t="str">
        <f t="shared" ca="1" si="3"/>
        <v/>
      </c>
      <c r="I127" s="32"/>
    </row>
    <row r="128" spans="1:9">
      <c r="A128" s="28"/>
      <c r="B128" s="29"/>
      <c r="C128" s="30"/>
      <c r="D128" s="29"/>
      <c r="E128" s="29"/>
      <c r="F128" s="28"/>
      <c r="G128" s="29" t="str">
        <f t="shared" ca="1" si="2"/>
        <v/>
      </c>
      <c r="H128" s="45" t="str">
        <f t="shared" ca="1" si="3"/>
        <v/>
      </c>
      <c r="I128" s="32"/>
    </row>
    <row r="129" spans="1:9">
      <c r="A129" s="28"/>
      <c r="B129" s="29"/>
      <c r="C129" s="30"/>
      <c r="D129" s="29"/>
      <c r="E129" s="29"/>
      <c r="F129" s="28"/>
      <c r="G129" s="29" t="str">
        <f t="shared" ca="1" si="2"/>
        <v/>
      </c>
      <c r="H129" s="45" t="str">
        <f t="shared" ca="1" si="3"/>
        <v/>
      </c>
      <c r="I129" s="32"/>
    </row>
    <row r="130" spans="1:9">
      <c r="A130" s="28"/>
      <c r="B130" s="29"/>
      <c r="C130" s="30"/>
      <c r="D130" s="29"/>
      <c r="E130" s="29"/>
      <c r="F130" s="28"/>
      <c r="G130" s="29" t="str">
        <f t="shared" ref="G130:G193" ca="1" si="4">IF(A130="","",IF(F130="","Sin vencimiento",IF(F130&lt;TODAY(),"Vencida",IF(F130&lt;=TODAY()+30,"Por vencer","Vigente"))))</f>
        <v/>
      </c>
      <c r="H130" s="45" t="str">
        <f t="shared" ref="H130:H193" ca="1" si="5">IF(A130="","",IF(F130="","",F130-TODAY()))</f>
        <v/>
      </c>
      <c r="I130" s="32"/>
    </row>
    <row r="131" spans="1:9">
      <c r="A131" s="28"/>
      <c r="B131" s="29"/>
      <c r="C131" s="30"/>
      <c r="D131" s="29"/>
      <c r="E131" s="29"/>
      <c r="F131" s="28"/>
      <c r="G131" s="29" t="str">
        <f t="shared" ca="1" si="4"/>
        <v/>
      </c>
      <c r="H131" s="45" t="str">
        <f t="shared" ca="1" si="5"/>
        <v/>
      </c>
      <c r="I131" s="32"/>
    </row>
    <row r="132" spans="1:9">
      <c r="A132" s="28"/>
      <c r="B132" s="29"/>
      <c r="C132" s="30"/>
      <c r="D132" s="29"/>
      <c r="E132" s="29"/>
      <c r="F132" s="28"/>
      <c r="G132" s="29" t="str">
        <f t="shared" ca="1" si="4"/>
        <v/>
      </c>
      <c r="H132" s="45" t="str">
        <f t="shared" ca="1" si="5"/>
        <v/>
      </c>
      <c r="I132" s="32"/>
    </row>
    <row r="133" spans="1:9">
      <c r="A133" s="28"/>
      <c r="B133" s="29"/>
      <c r="C133" s="30"/>
      <c r="D133" s="29"/>
      <c r="E133" s="29"/>
      <c r="F133" s="28"/>
      <c r="G133" s="29" t="str">
        <f t="shared" ca="1" si="4"/>
        <v/>
      </c>
      <c r="H133" s="45" t="str">
        <f t="shared" ca="1" si="5"/>
        <v/>
      </c>
      <c r="I133" s="32"/>
    </row>
    <row r="134" spans="1:9">
      <c r="A134" s="28"/>
      <c r="B134" s="29"/>
      <c r="C134" s="30"/>
      <c r="D134" s="29"/>
      <c r="E134" s="29"/>
      <c r="F134" s="28"/>
      <c r="G134" s="29" t="str">
        <f t="shared" ca="1" si="4"/>
        <v/>
      </c>
      <c r="H134" s="45" t="str">
        <f t="shared" ca="1" si="5"/>
        <v/>
      </c>
      <c r="I134" s="32"/>
    </row>
    <row r="135" spans="1:9">
      <c r="A135" s="28"/>
      <c r="B135" s="29"/>
      <c r="C135" s="30"/>
      <c r="D135" s="29"/>
      <c r="E135" s="29"/>
      <c r="F135" s="28"/>
      <c r="G135" s="29" t="str">
        <f t="shared" ca="1" si="4"/>
        <v/>
      </c>
      <c r="H135" s="45" t="str">
        <f t="shared" ca="1" si="5"/>
        <v/>
      </c>
      <c r="I135" s="32"/>
    </row>
    <row r="136" spans="1:9">
      <c r="A136" s="28"/>
      <c r="B136" s="29"/>
      <c r="C136" s="30"/>
      <c r="D136" s="29"/>
      <c r="E136" s="29"/>
      <c r="F136" s="28"/>
      <c r="G136" s="29" t="str">
        <f t="shared" ca="1" si="4"/>
        <v/>
      </c>
      <c r="H136" s="45" t="str">
        <f t="shared" ca="1" si="5"/>
        <v/>
      </c>
      <c r="I136" s="32"/>
    </row>
    <row r="137" spans="1:9">
      <c r="A137" s="28"/>
      <c r="B137" s="29"/>
      <c r="C137" s="30"/>
      <c r="D137" s="29"/>
      <c r="E137" s="29"/>
      <c r="F137" s="28"/>
      <c r="G137" s="29" t="str">
        <f t="shared" ca="1" si="4"/>
        <v/>
      </c>
      <c r="H137" s="45" t="str">
        <f t="shared" ca="1" si="5"/>
        <v/>
      </c>
      <c r="I137" s="32"/>
    </row>
    <row r="138" spans="1:9">
      <c r="A138" s="28"/>
      <c r="B138" s="29"/>
      <c r="C138" s="30"/>
      <c r="D138" s="29"/>
      <c r="E138" s="29"/>
      <c r="F138" s="28"/>
      <c r="G138" s="29" t="str">
        <f t="shared" ca="1" si="4"/>
        <v/>
      </c>
      <c r="H138" s="45" t="str">
        <f t="shared" ca="1" si="5"/>
        <v/>
      </c>
      <c r="I138" s="32"/>
    </row>
    <row r="139" spans="1:9">
      <c r="A139" s="28"/>
      <c r="B139" s="29"/>
      <c r="C139" s="30"/>
      <c r="D139" s="29"/>
      <c r="E139" s="29"/>
      <c r="F139" s="28"/>
      <c r="G139" s="29" t="str">
        <f t="shared" ca="1" si="4"/>
        <v/>
      </c>
      <c r="H139" s="45" t="str">
        <f t="shared" ca="1" si="5"/>
        <v/>
      </c>
      <c r="I139" s="32"/>
    </row>
    <row r="140" spans="1:9">
      <c r="A140" s="28"/>
      <c r="B140" s="29"/>
      <c r="C140" s="30"/>
      <c r="D140" s="29"/>
      <c r="E140" s="29"/>
      <c r="F140" s="28"/>
      <c r="G140" s="29" t="str">
        <f t="shared" ca="1" si="4"/>
        <v/>
      </c>
      <c r="H140" s="45" t="str">
        <f t="shared" ca="1" si="5"/>
        <v/>
      </c>
      <c r="I140" s="32"/>
    </row>
    <row r="141" spans="1:9">
      <c r="A141" s="28"/>
      <c r="B141" s="29"/>
      <c r="C141" s="30"/>
      <c r="D141" s="29"/>
      <c r="E141" s="29"/>
      <c r="F141" s="28"/>
      <c r="G141" s="29" t="str">
        <f t="shared" ca="1" si="4"/>
        <v/>
      </c>
      <c r="H141" s="45" t="str">
        <f t="shared" ca="1" si="5"/>
        <v/>
      </c>
      <c r="I141" s="32"/>
    </row>
    <row r="142" spans="1:9">
      <c r="A142" s="28"/>
      <c r="B142" s="29"/>
      <c r="C142" s="30"/>
      <c r="D142" s="29"/>
      <c r="E142" s="29"/>
      <c r="F142" s="28"/>
      <c r="G142" s="29" t="str">
        <f t="shared" ca="1" si="4"/>
        <v/>
      </c>
      <c r="H142" s="45" t="str">
        <f t="shared" ca="1" si="5"/>
        <v/>
      </c>
      <c r="I142" s="32"/>
    </row>
    <row r="143" spans="1:9">
      <c r="A143" s="28"/>
      <c r="B143" s="29"/>
      <c r="C143" s="30"/>
      <c r="D143" s="29"/>
      <c r="E143" s="29"/>
      <c r="F143" s="28"/>
      <c r="G143" s="29" t="str">
        <f t="shared" ca="1" si="4"/>
        <v/>
      </c>
      <c r="H143" s="45" t="str">
        <f t="shared" ca="1" si="5"/>
        <v/>
      </c>
      <c r="I143" s="32"/>
    </row>
    <row r="144" spans="1:9">
      <c r="A144" s="28"/>
      <c r="B144" s="29"/>
      <c r="C144" s="30"/>
      <c r="D144" s="29"/>
      <c r="E144" s="29"/>
      <c r="F144" s="28"/>
      <c r="G144" s="29" t="str">
        <f t="shared" ca="1" si="4"/>
        <v/>
      </c>
      <c r="H144" s="45" t="str">
        <f t="shared" ca="1" si="5"/>
        <v/>
      </c>
      <c r="I144" s="32"/>
    </row>
    <row r="145" spans="1:9">
      <c r="A145" s="28"/>
      <c r="B145" s="29"/>
      <c r="C145" s="30"/>
      <c r="D145" s="29"/>
      <c r="E145" s="29"/>
      <c r="F145" s="28"/>
      <c r="G145" s="29" t="str">
        <f t="shared" ca="1" si="4"/>
        <v/>
      </c>
      <c r="H145" s="45" t="str">
        <f t="shared" ca="1" si="5"/>
        <v/>
      </c>
      <c r="I145" s="32"/>
    </row>
    <row r="146" spans="1:9">
      <c r="A146" s="28"/>
      <c r="B146" s="29"/>
      <c r="C146" s="30"/>
      <c r="D146" s="29"/>
      <c r="E146" s="29"/>
      <c r="F146" s="28"/>
      <c r="G146" s="29" t="str">
        <f t="shared" ca="1" si="4"/>
        <v/>
      </c>
      <c r="H146" s="45" t="str">
        <f t="shared" ca="1" si="5"/>
        <v/>
      </c>
      <c r="I146" s="32"/>
    </row>
    <row r="147" spans="1:9">
      <c r="A147" s="28"/>
      <c r="B147" s="29"/>
      <c r="C147" s="30"/>
      <c r="D147" s="29"/>
      <c r="E147" s="29"/>
      <c r="F147" s="28"/>
      <c r="G147" s="29" t="str">
        <f t="shared" ca="1" si="4"/>
        <v/>
      </c>
      <c r="H147" s="45" t="str">
        <f t="shared" ca="1" si="5"/>
        <v/>
      </c>
      <c r="I147" s="32"/>
    </row>
    <row r="148" spans="1:9">
      <c r="A148" s="28"/>
      <c r="B148" s="29"/>
      <c r="C148" s="30"/>
      <c r="D148" s="29"/>
      <c r="E148" s="29"/>
      <c r="F148" s="28"/>
      <c r="G148" s="29" t="str">
        <f t="shared" ca="1" si="4"/>
        <v/>
      </c>
      <c r="H148" s="45" t="str">
        <f t="shared" ca="1" si="5"/>
        <v/>
      </c>
      <c r="I148" s="32"/>
    </row>
    <row r="149" spans="1:9">
      <c r="A149" s="28"/>
      <c r="B149" s="29"/>
      <c r="C149" s="30"/>
      <c r="D149" s="29"/>
      <c r="E149" s="29"/>
      <c r="F149" s="28"/>
      <c r="G149" s="29" t="str">
        <f t="shared" ca="1" si="4"/>
        <v/>
      </c>
      <c r="H149" s="45" t="str">
        <f t="shared" ca="1" si="5"/>
        <v/>
      </c>
      <c r="I149" s="32"/>
    </row>
    <row r="150" spans="1:9">
      <c r="A150" s="28"/>
      <c r="B150" s="29"/>
      <c r="C150" s="30"/>
      <c r="D150" s="29"/>
      <c r="E150" s="29"/>
      <c r="F150" s="28"/>
      <c r="G150" s="29" t="str">
        <f t="shared" ca="1" si="4"/>
        <v/>
      </c>
      <c r="H150" s="45" t="str">
        <f t="shared" ca="1" si="5"/>
        <v/>
      </c>
      <c r="I150" s="32"/>
    </row>
    <row r="151" spans="1:9">
      <c r="A151" s="28"/>
      <c r="B151" s="29"/>
      <c r="C151" s="30"/>
      <c r="D151" s="29"/>
      <c r="E151" s="29"/>
      <c r="F151" s="28"/>
      <c r="G151" s="29" t="str">
        <f t="shared" ca="1" si="4"/>
        <v/>
      </c>
      <c r="H151" s="45" t="str">
        <f t="shared" ca="1" si="5"/>
        <v/>
      </c>
      <c r="I151" s="32"/>
    </row>
    <row r="152" spans="1:9">
      <c r="A152" s="28"/>
      <c r="B152" s="29"/>
      <c r="C152" s="30"/>
      <c r="D152" s="29"/>
      <c r="E152" s="29"/>
      <c r="F152" s="28"/>
      <c r="G152" s="29" t="str">
        <f t="shared" ca="1" si="4"/>
        <v/>
      </c>
      <c r="H152" s="45" t="str">
        <f t="shared" ca="1" si="5"/>
        <v/>
      </c>
      <c r="I152" s="32"/>
    </row>
    <row r="153" spans="1:9">
      <c r="A153" s="28"/>
      <c r="B153" s="29"/>
      <c r="C153" s="30"/>
      <c r="D153" s="29"/>
      <c r="E153" s="29"/>
      <c r="F153" s="28"/>
      <c r="G153" s="29" t="str">
        <f t="shared" ca="1" si="4"/>
        <v/>
      </c>
      <c r="H153" s="45" t="str">
        <f t="shared" ca="1" si="5"/>
        <v/>
      </c>
      <c r="I153" s="32"/>
    </row>
    <row r="154" spans="1:9">
      <c r="A154" s="28"/>
      <c r="B154" s="29"/>
      <c r="C154" s="30"/>
      <c r="D154" s="29"/>
      <c r="E154" s="29"/>
      <c r="F154" s="28"/>
      <c r="G154" s="29" t="str">
        <f t="shared" ca="1" si="4"/>
        <v/>
      </c>
      <c r="H154" s="45" t="str">
        <f t="shared" ca="1" si="5"/>
        <v/>
      </c>
      <c r="I154" s="32"/>
    </row>
    <row r="155" spans="1:9">
      <c r="A155" s="28"/>
      <c r="B155" s="29"/>
      <c r="C155" s="30"/>
      <c r="D155" s="29"/>
      <c r="E155" s="29"/>
      <c r="F155" s="28"/>
      <c r="G155" s="29" t="str">
        <f t="shared" ca="1" si="4"/>
        <v/>
      </c>
      <c r="H155" s="45" t="str">
        <f t="shared" ca="1" si="5"/>
        <v/>
      </c>
      <c r="I155" s="32"/>
    </row>
    <row r="156" spans="1:9">
      <c r="A156" s="28"/>
      <c r="B156" s="29"/>
      <c r="C156" s="30"/>
      <c r="D156" s="29"/>
      <c r="E156" s="29"/>
      <c r="F156" s="28"/>
      <c r="G156" s="29" t="str">
        <f t="shared" ca="1" si="4"/>
        <v/>
      </c>
      <c r="H156" s="45" t="str">
        <f t="shared" ca="1" si="5"/>
        <v/>
      </c>
      <c r="I156" s="32"/>
    </row>
    <row r="157" spans="1:9">
      <c r="A157" s="28"/>
      <c r="B157" s="29"/>
      <c r="C157" s="30"/>
      <c r="D157" s="29"/>
      <c r="E157" s="29"/>
      <c r="F157" s="28"/>
      <c r="G157" s="29" t="str">
        <f t="shared" ca="1" si="4"/>
        <v/>
      </c>
      <c r="H157" s="45" t="str">
        <f t="shared" ca="1" si="5"/>
        <v/>
      </c>
      <c r="I157" s="32"/>
    </row>
    <row r="158" spans="1:9">
      <c r="A158" s="28"/>
      <c r="B158" s="29"/>
      <c r="C158" s="30"/>
      <c r="D158" s="29"/>
      <c r="E158" s="29"/>
      <c r="F158" s="28"/>
      <c r="G158" s="29" t="str">
        <f t="shared" ca="1" si="4"/>
        <v/>
      </c>
      <c r="H158" s="45" t="str">
        <f t="shared" ca="1" si="5"/>
        <v/>
      </c>
      <c r="I158" s="32"/>
    </row>
    <row r="159" spans="1:9">
      <c r="A159" s="28"/>
      <c r="B159" s="29"/>
      <c r="C159" s="30"/>
      <c r="D159" s="29"/>
      <c r="E159" s="29"/>
      <c r="F159" s="28"/>
      <c r="G159" s="29" t="str">
        <f t="shared" ca="1" si="4"/>
        <v/>
      </c>
      <c r="H159" s="45" t="str">
        <f t="shared" ca="1" si="5"/>
        <v/>
      </c>
      <c r="I159" s="32"/>
    </row>
    <row r="160" spans="1:9">
      <c r="A160" s="28"/>
      <c r="B160" s="29"/>
      <c r="C160" s="30"/>
      <c r="D160" s="29"/>
      <c r="E160" s="29"/>
      <c r="F160" s="28"/>
      <c r="G160" s="29" t="str">
        <f t="shared" ca="1" si="4"/>
        <v/>
      </c>
      <c r="H160" s="45" t="str">
        <f t="shared" ca="1" si="5"/>
        <v/>
      </c>
      <c r="I160" s="32"/>
    </row>
    <row r="161" spans="1:9">
      <c r="A161" s="28"/>
      <c r="B161" s="29"/>
      <c r="C161" s="30"/>
      <c r="D161" s="29"/>
      <c r="E161" s="29"/>
      <c r="F161" s="28"/>
      <c r="G161" s="29" t="str">
        <f t="shared" ca="1" si="4"/>
        <v/>
      </c>
      <c r="H161" s="45" t="str">
        <f t="shared" ca="1" si="5"/>
        <v/>
      </c>
      <c r="I161" s="32"/>
    </row>
    <row r="162" spans="1:9">
      <c r="A162" s="28"/>
      <c r="B162" s="29"/>
      <c r="C162" s="30"/>
      <c r="D162" s="29"/>
      <c r="E162" s="29"/>
      <c r="F162" s="28"/>
      <c r="G162" s="29" t="str">
        <f t="shared" ca="1" si="4"/>
        <v/>
      </c>
      <c r="H162" s="45" t="str">
        <f t="shared" ca="1" si="5"/>
        <v/>
      </c>
      <c r="I162" s="32"/>
    </row>
    <row r="163" spans="1:9">
      <c r="A163" s="28"/>
      <c r="B163" s="29"/>
      <c r="C163" s="30"/>
      <c r="D163" s="29"/>
      <c r="E163" s="29"/>
      <c r="F163" s="28"/>
      <c r="G163" s="29" t="str">
        <f t="shared" ca="1" si="4"/>
        <v/>
      </c>
      <c r="H163" s="45" t="str">
        <f t="shared" ca="1" si="5"/>
        <v/>
      </c>
      <c r="I163" s="32"/>
    </row>
    <row r="164" spans="1:9">
      <c r="A164" s="28"/>
      <c r="B164" s="29"/>
      <c r="C164" s="30"/>
      <c r="D164" s="29"/>
      <c r="E164" s="29"/>
      <c r="F164" s="28"/>
      <c r="G164" s="29" t="str">
        <f t="shared" ca="1" si="4"/>
        <v/>
      </c>
      <c r="H164" s="45" t="str">
        <f t="shared" ca="1" si="5"/>
        <v/>
      </c>
      <c r="I164" s="32"/>
    </row>
    <row r="165" spans="1:9">
      <c r="A165" s="28"/>
      <c r="B165" s="29"/>
      <c r="C165" s="30"/>
      <c r="D165" s="29"/>
      <c r="E165" s="29"/>
      <c r="F165" s="28"/>
      <c r="G165" s="29" t="str">
        <f t="shared" ca="1" si="4"/>
        <v/>
      </c>
      <c r="H165" s="45" t="str">
        <f t="shared" ca="1" si="5"/>
        <v/>
      </c>
      <c r="I165" s="32"/>
    </row>
    <row r="166" spans="1:9">
      <c r="A166" s="28"/>
      <c r="B166" s="29"/>
      <c r="C166" s="30"/>
      <c r="D166" s="29"/>
      <c r="E166" s="29"/>
      <c r="F166" s="28"/>
      <c r="G166" s="29" t="str">
        <f t="shared" ca="1" si="4"/>
        <v/>
      </c>
      <c r="H166" s="45" t="str">
        <f t="shared" ca="1" si="5"/>
        <v/>
      </c>
      <c r="I166" s="32"/>
    </row>
    <row r="167" spans="1:9">
      <c r="A167" s="28"/>
      <c r="B167" s="29"/>
      <c r="C167" s="30"/>
      <c r="D167" s="29"/>
      <c r="E167" s="29"/>
      <c r="F167" s="28"/>
      <c r="G167" s="29" t="str">
        <f t="shared" ca="1" si="4"/>
        <v/>
      </c>
      <c r="H167" s="45" t="str">
        <f t="shared" ca="1" si="5"/>
        <v/>
      </c>
      <c r="I167" s="32"/>
    </row>
    <row r="168" spans="1:9">
      <c r="A168" s="28"/>
      <c r="B168" s="29"/>
      <c r="C168" s="30"/>
      <c r="D168" s="29"/>
      <c r="E168" s="29"/>
      <c r="F168" s="28"/>
      <c r="G168" s="29" t="str">
        <f t="shared" ca="1" si="4"/>
        <v/>
      </c>
      <c r="H168" s="45" t="str">
        <f t="shared" ca="1" si="5"/>
        <v/>
      </c>
      <c r="I168" s="32"/>
    </row>
    <row r="169" spans="1:9">
      <c r="A169" s="28"/>
      <c r="B169" s="29"/>
      <c r="C169" s="30"/>
      <c r="D169" s="29"/>
      <c r="E169" s="29"/>
      <c r="F169" s="28"/>
      <c r="G169" s="29" t="str">
        <f t="shared" ca="1" si="4"/>
        <v/>
      </c>
      <c r="H169" s="45" t="str">
        <f t="shared" ca="1" si="5"/>
        <v/>
      </c>
      <c r="I169" s="32"/>
    </row>
    <row r="170" spans="1:9">
      <c r="A170" s="28"/>
      <c r="B170" s="29"/>
      <c r="C170" s="30"/>
      <c r="D170" s="29"/>
      <c r="E170" s="29"/>
      <c r="F170" s="28"/>
      <c r="G170" s="29" t="str">
        <f t="shared" ca="1" si="4"/>
        <v/>
      </c>
      <c r="H170" s="45" t="str">
        <f t="shared" ca="1" si="5"/>
        <v/>
      </c>
      <c r="I170" s="32"/>
    </row>
    <row r="171" spans="1:9">
      <c r="A171" s="28"/>
      <c r="B171" s="29"/>
      <c r="C171" s="30"/>
      <c r="D171" s="29"/>
      <c r="E171" s="29"/>
      <c r="F171" s="28"/>
      <c r="G171" s="29" t="str">
        <f t="shared" ca="1" si="4"/>
        <v/>
      </c>
      <c r="H171" s="45" t="str">
        <f t="shared" ca="1" si="5"/>
        <v/>
      </c>
      <c r="I171" s="32"/>
    </row>
    <row r="172" spans="1:9">
      <c r="A172" s="28"/>
      <c r="B172" s="29"/>
      <c r="C172" s="30"/>
      <c r="D172" s="29"/>
      <c r="E172" s="29"/>
      <c r="F172" s="28"/>
      <c r="G172" s="29" t="str">
        <f t="shared" ca="1" si="4"/>
        <v/>
      </c>
      <c r="H172" s="45" t="str">
        <f t="shared" ca="1" si="5"/>
        <v/>
      </c>
      <c r="I172" s="32"/>
    </row>
    <row r="173" spans="1:9">
      <c r="A173" s="28"/>
      <c r="B173" s="29"/>
      <c r="C173" s="30"/>
      <c r="D173" s="29"/>
      <c r="E173" s="29"/>
      <c r="F173" s="28"/>
      <c r="G173" s="29" t="str">
        <f t="shared" ca="1" si="4"/>
        <v/>
      </c>
      <c r="H173" s="45" t="str">
        <f t="shared" ca="1" si="5"/>
        <v/>
      </c>
      <c r="I173" s="32"/>
    </row>
    <row r="174" spans="1:9">
      <c r="A174" s="28"/>
      <c r="B174" s="29"/>
      <c r="C174" s="30"/>
      <c r="D174" s="29"/>
      <c r="E174" s="29"/>
      <c r="F174" s="28"/>
      <c r="G174" s="29" t="str">
        <f t="shared" ca="1" si="4"/>
        <v/>
      </c>
      <c r="H174" s="45" t="str">
        <f t="shared" ca="1" si="5"/>
        <v/>
      </c>
      <c r="I174" s="32"/>
    </row>
    <row r="175" spans="1:9">
      <c r="A175" s="28"/>
      <c r="B175" s="29"/>
      <c r="C175" s="30"/>
      <c r="D175" s="29"/>
      <c r="E175" s="29"/>
      <c r="F175" s="28"/>
      <c r="G175" s="29" t="str">
        <f t="shared" ca="1" si="4"/>
        <v/>
      </c>
      <c r="H175" s="45" t="str">
        <f t="shared" ca="1" si="5"/>
        <v/>
      </c>
      <c r="I175" s="32"/>
    </row>
    <row r="176" spans="1:9">
      <c r="A176" s="28"/>
      <c r="B176" s="29"/>
      <c r="C176" s="30"/>
      <c r="D176" s="29"/>
      <c r="E176" s="29"/>
      <c r="F176" s="28"/>
      <c r="G176" s="29" t="str">
        <f t="shared" ca="1" si="4"/>
        <v/>
      </c>
      <c r="H176" s="45" t="str">
        <f t="shared" ca="1" si="5"/>
        <v/>
      </c>
      <c r="I176" s="32"/>
    </row>
    <row r="177" spans="1:9">
      <c r="A177" s="28"/>
      <c r="B177" s="29"/>
      <c r="C177" s="30"/>
      <c r="D177" s="29"/>
      <c r="E177" s="29"/>
      <c r="F177" s="28"/>
      <c r="G177" s="29" t="str">
        <f t="shared" ca="1" si="4"/>
        <v/>
      </c>
      <c r="H177" s="45" t="str">
        <f t="shared" ca="1" si="5"/>
        <v/>
      </c>
      <c r="I177" s="32"/>
    </row>
    <row r="178" spans="1:9">
      <c r="A178" s="28"/>
      <c r="B178" s="29"/>
      <c r="C178" s="30"/>
      <c r="D178" s="29"/>
      <c r="E178" s="29"/>
      <c r="F178" s="28"/>
      <c r="G178" s="29" t="str">
        <f t="shared" ca="1" si="4"/>
        <v/>
      </c>
      <c r="H178" s="45" t="str">
        <f t="shared" ca="1" si="5"/>
        <v/>
      </c>
      <c r="I178" s="32"/>
    </row>
    <row r="179" spans="1:9">
      <c r="A179" s="28"/>
      <c r="B179" s="29"/>
      <c r="C179" s="30"/>
      <c r="D179" s="29"/>
      <c r="E179" s="29"/>
      <c r="F179" s="28"/>
      <c r="G179" s="29" t="str">
        <f t="shared" ca="1" si="4"/>
        <v/>
      </c>
      <c r="H179" s="45" t="str">
        <f t="shared" ca="1" si="5"/>
        <v/>
      </c>
      <c r="I179" s="32"/>
    </row>
    <row r="180" spans="1:9">
      <c r="A180" s="28"/>
      <c r="B180" s="29"/>
      <c r="C180" s="30"/>
      <c r="D180" s="29"/>
      <c r="E180" s="29"/>
      <c r="F180" s="28"/>
      <c r="G180" s="29" t="str">
        <f t="shared" ca="1" si="4"/>
        <v/>
      </c>
      <c r="H180" s="45" t="str">
        <f t="shared" ca="1" si="5"/>
        <v/>
      </c>
      <c r="I180" s="32"/>
    </row>
    <row r="181" spans="1:9">
      <c r="A181" s="28"/>
      <c r="B181" s="29"/>
      <c r="C181" s="30"/>
      <c r="D181" s="29"/>
      <c r="E181" s="29"/>
      <c r="F181" s="28"/>
      <c r="G181" s="29" t="str">
        <f t="shared" ca="1" si="4"/>
        <v/>
      </c>
      <c r="H181" s="45" t="str">
        <f t="shared" ca="1" si="5"/>
        <v/>
      </c>
      <c r="I181" s="32"/>
    </row>
    <row r="182" spans="1:9">
      <c r="A182" s="28"/>
      <c r="B182" s="29"/>
      <c r="C182" s="30"/>
      <c r="D182" s="29"/>
      <c r="E182" s="29"/>
      <c r="F182" s="28"/>
      <c r="G182" s="29" t="str">
        <f t="shared" ca="1" si="4"/>
        <v/>
      </c>
      <c r="H182" s="45" t="str">
        <f t="shared" ca="1" si="5"/>
        <v/>
      </c>
      <c r="I182" s="32"/>
    </row>
    <row r="183" spans="1:9">
      <c r="A183" s="28"/>
      <c r="B183" s="29"/>
      <c r="C183" s="30"/>
      <c r="D183" s="29"/>
      <c r="E183" s="29"/>
      <c r="F183" s="28"/>
      <c r="G183" s="29" t="str">
        <f t="shared" ca="1" si="4"/>
        <v/>
      </c>
      <c r="H183" s="45" t="str">
        <f t="shared" ca="1" si="5"/>
        <v/>
      </c>
      <c r="I183" s="32"/>
    </row>
    <row r="184" spans="1:9">
      <c r="A184" s="28"/>
      <c r="B184" s="29"/>
      <c r="C184" s="30"/>
      <c r="D184" s="29"/>
      <c r="E184" s="29"/>
      <c r="F184" s="28"/>
      <c r="G184" s="29" t="str">
        <f t="shared" ca="1" si="4"/>
        <v/>
      </c>
      <c r="H184" s="45" t="str">
        <f t="shared" ca="1" si="5"/>
        <v/>
      </c>
      <c r="I184" s="32"/>
    </row>
    <row r="185" spans="1:9">
      <c r="A185" s="28"/>
      <c r="B185" s="29"/>
      <c r="C185" s="30"/>
      <c r="D185" s="29"/>
      <c r="E185" s="29"/>
      <c r="F185" s="28"/>
      <c r="G185" s="29" t="str">
        <f t="shared" ca="1" si="4"/>
        <v/>
      </c>
      <c r="H185" s="45" t="str">
        <f t="shared" ca="1" si="5"/>
        <v/>
      </c>
      <c r="I185" s="32"/>
    </row>
    <row r="186" spans="1:9">
      <c r="A186" s="28"/>
      <c r="B186" s="29"/>
      <c r="C186" s="30"/>
      <c r="D186" s="29"/>
      <c r="E186" s="29"/>
      <c r="F186" s="28"/>
      <c r="G186" s="29" t="str">
        <f t="shared" ca="1" si="4"/>
        <v/>
      </c>
      <c r="H186" s="45" t="str">
        <f t="shared" ca="1" si="5"/>
        <v/>
      </c>
      <c r="I186" s="32"/>
    </row>
    <row r="187" spans="1:9">
      <c r="A187" s="28"/>
      <c r="B187" s="29"/>
      <c r="C187" s="30"/>
      <c r="D187" s="29"/>
      <c r="E187" s="29"/>
      <c r="F187" s="28"/>
      <c r="G187" s="29" t="str">
        <f t="shared" ca="1" si="4"/>
        <v/>
      </c>
      <c r="H187" s="45" t="str">
        <f t="shared" ca="1" si="5"/>
        <v/>
      </c>
      <c r="I187" s="32"/>
    </row>
    <row r="188" spans="1:9">
      <c r="A188" s="28"/>
      <c r="B188" s="29"/>
      <c r="C188" s="30"/>
      <c r="D188" s="29"/>
      <c r="E188" s="29"/>
      <c r="F188" s="28"/>
      <c r="G188" s="29" t="str">
        <f t="shared" ca="1" si="4"/>
        <v/>
      </c>
      <c r="H188" s="45" t="str">
        <f t="shared" ca="1" si="5"/>
        <v/>
      </c>
      <c r="I188" s="32"/>
    </row>
    <row r="189" spans="1:9">
      <c r="A189" s="28"/>
      <c r="B189" s="29"/>
      <c r="C189" s="30"/>
      <c r="D189" s="29"/>
      <c r="E189" s="29"/>
      <c r="F189" s="28"/>
      <c r="G189" s="29" t="str">
        <f t="shared" ca="1" si="4"/>
        <v/>
      </c>
      <c r="H189" s="45" t="str">
        <f t="shared" ca="1" si="5"/>
        <v/>
      </c>
      <c r="I189" s="32"/>
    </row>
    <row r="190" spans="1:9">
      <c r="A190" s="28"/>
      <c r="B190" s="29"/>
      <c r="C190" s="30"/>
      <c r="D190" s="29"/>
      <c r="E190" s="29"/>
      <c r="F190" s="28"/>
      <c r="G190" s="29" t="str">
        <f t="shared" ca="1" si="4"/>
        <v/>
      </c>
      <c r="H190" s="45" t="str">
        <f t="shared" ca="1" si="5"/>
        <v/>
      </c>
      <c r="I190" s="32"/>
    </row>
    <row r="191" spans="1:9">
      <c r="A191" s="28"/>
      <c r="B191" s="29"/>
      <c r="C191" s="30"/>
      <c r="D191" s="29"/>
      <c r="E191" s="29"/>
      <c r="F191" s="28"/>
      <c r="G191" s="29" t="str">
        <f t="shared" ca="1" si="4"/>
        <v/>
      </c>
      <c r="H191" s="45" t="str">
        <f t="shared" ca="1" si="5"/>
        <v/>
      </c>
      <c r="I191" s="32"/>
    </row>
    <row r="192" spans="1:9">
      <c r="A192" s="28"/>
      <c r="B192" s="29"/>
      <c r="C192" s="30"/>
      <c r="D192" s="29"/>
      <c r="E192" s="29"/>
      <c r="F192" s="28"/>
      <c r="G192" s="29" t="str">
        <f t="shared" ca="1" si="4"/>
        <v/>
      </c>
      <c r="H192" s="45" t="str">
        <f t="shared" ca="1" si="5"/>
        <v/>
      </c>
      <c r="I192" s="32"/>
    </row>
    <row r="193" spans="1:9">
      <c r="A193" s="28"/>
      <c r="B193" s="29"/>
      <c r="C193" s="30"/>
      <c r="D193" s="29"/>
      <c r="E193" s="29"/>
      <c r="F193" s="28"/>
      <c r="G193" s="29" t="str">
        <f t="shared" ca="1" si="4"/>
        <v/>
      </c>
      <c r="H193" s="45" t="str">
        <f t="shared" ca="1" si="5"/>
        <v/>
      </c>
      <c r="I193" s="32"/>
    </row>
    <row r="194" spans="1:9">
      <c r="A194" s="28"/>
      <c r="B194" s="29"/>
      <c r="C194" s="30"/>
      <c r="D194" s="29"/>
      <c r="E194" s="29"/>
      <c r="F194" s="28"/>
      <c r="G194" s="29" t="str">
        <f t="shared" ref="G194:G257" ca="1" si="6">IF(A194="","",IF(F194="","Sin vencimiento",IF(F194&lt;TODAY(),"Vencida",IF(F194&lt;=TODAY()+30,"Por vencer","Vigente"))))</f>
        <v/>
      </c>
      <c r="H194" s="45" t="str">
        <f t="shared" ref="H194:H257" ca="1" si="7">IF(A194="","",IF(F194="","",F194-TODAY()))</f>
        <v/>
      </c>
      <c r="I194" s="32"/>
    </row>
    <row r="195" spans="1:9">
      <c r="A195" s="28"/>
      <c r="B195" s="29"/>
      <c r="C195" s="30"/>
      <c r="D195" s="29"/>
      <c r="E195" s="29"/>
      <c r="F195" s="28"/>
      <c r="G195" s="29" t="str">
        <f t="shared" ca="1" si="6"/>
        <v/>
      </c>
      <c r="H195" s="45" t="str">
        <f t="shared" ca="1" si="7"/>
        <v/>
      </c>
      <c r="I195" s="32"/>
    </row>
    <row r="196" spans="1:9">
      <c r="A196" s="28"/>
      <c r="B196" s="29"/>
      <c r="C196" s="30"/>
      <c r="D196" s="29"/>
      <c r="E196" s="29"/>
      <c r="F196" s="28"/>
      <c r="G196" s="29" t="str">
        <f t="shared" ca="1" si="6"/>
        <v/>
      </c>
      <c r="H196" s="45" t="str">
        <f t="shared" ca="1" si="7"/>
        <v/>
      </c>
      <c r="I196" s="32"/>
    </row>
    <row r="197" spans="1:9">
      <c r="A197" s="28"/>
      <c r="B197" s="29"/>
      <c r="C197" s="30"/>
      <c r="D197" s="29"/>
      <c r="E197" s="29"/>
      <c r="F197" s="28"/>
      <c r="G197" s="29" t="str">
        <f t="shared" ca="1" si="6"/>
        <v/>
      </c>
      <c r="H197" s="45" t="str">
        <f t="shared" ca="1" si="7"/>
        <v/>
      </c>
      <c r="I197" s="32"/>
    </row>
    <row r="198" spans="1:9">
      <c r="A198" s="28"/>
      <c r="B198" s="29"/>
      <c r="C198" s="30"/>
      <c r="D198" s="29"/>
      <c r="E198" s="29"/>
      <c r="F198" s="28"/>
      <c r="G198" s="29" t="str">
        <f t="shared" ca="1" si="6"/>
        <v/>
      </c>
      <c r="H198" s="45" t="str">
        <f t="shared" ca="1" si="7"/>
        <v/>
      </c>
      <c r="I198" s="32"/>
    </row>
    <row r="199" spans="1:9">
      <c r="A199" s="28"/>
      <c r="B199" s="29"/>
      <c r="C199" s="30"/>
      <c r="D199" s="29"/>
      <c r="E199" s="29"/>
      <c r="F199" s="28"/>
      <c r="G199" s="29" t="str">
        <f t="shared" ca="1" si="6"/>
        <v/>
      </c>
      <c r="H199" s="45" t="str">
        <f t="shared" ca="1" si="7"/>
        <v/>
      </c>
      <c r="I199" s="32"/>
    </row>
    <row r="200" spans="1:9">
      <c r="A200" s="28"/>
      <c r="B200" s="29"/>
      <c r="C200" s="30"/>
      <c r="D200" s="29"/>
      <c r="E200" s="29"/>
      <c r="F200" s="28"/>
      <c r="G200" s="29" t="str">
        <f t="shared" ca="1" si="6"/>
        <v/>
      </c>
      <c r="H200" s="45" t="str">
        <f t="shared" ca="1" si="7"/>
        <v/>
      </c>
      <c r="I200" s="32"/>
    </row>
    <row r="201" spans="1:9">
      <c r="A201" s="28"/>
      <c r="B201" s="29"/>
      <c r="C201" s="30"/>
      <c r="D201" s="29"/>
      <c r="E201" s="29"/>
      <c r="F201" s="28"/>
      <c r="G201" s="29" t="str">
        <f t="shared" ca="1" si="6"/>
        <v/>
      </c>
      <c r="H201" s="45" t="str">
        <f t="shared" ca="1" si="7"/>
        <v/>
      </c>
      <c r="I201" s="32"/>
    </row>
    <row r="202" spans="1:9">
      <c r="A202" s="28"/>
      <c r="B202" s="29"/>
      <c r="C202" s="30"/>
      <c r="D202" s="29"/>
      <c r="E202" s="29"/>
      <c r="F202" s="28"/>
      <c r="G202" s="29" t="str">
        <f t="shared" ca="1" si="6"/>
        <v/>
      </c>
      <c r="H202" s="45" t="str">
        <f t="shared" ca="1" si="7"/>
        <v/>
      </c>
      <c r="I202" s="32"/>
    </row>
    <row r="203" spans="1:9">
      <c r="A203" s="28"/>
      <c r="B203" s="29"/>
      <c r="C203" s="30"/>
      <c r="D203" s="29"/>
      <c r="E203" s="29"/>
      <c r="F203" s="28"/>
      <c r="G203" s="29" t="str">
        <f t="shared" ca="1" si="6"/>
        <v/>
      </c>
      <c r="H203" s="45" t="str">
        <f t="shared" ca="1" si="7"/>
        <v/>
      </c>
      <c r="I203" s="32"/>
    </row>
    <row r="204" spans="1:9">
      <c r="A204" s="28"/>
      <c r="B204" s="29"/>
      <c r="C204" s="30"/>
      <c r="D204" s="29"/>
      <c r="E204" s="29"/>
      <c r="F204" s="28"/>
      <c r="G204" s="29" t="str">
        <f t="shared" ca="1" si="6"/>
        <v/>
      </c>
      <c r="H204" s="45" t="str">
        <f t="shared" ca="1" si="7"/>
        <v/>
      </c>
      <c r="I204" s="32"/>
    </row>
    <row r="205" spans="1:9">
      <c r="A205" s="28"/>
      <c r="B205" s="29"/>
      <c r="C205" s="30"/>
      <c r="D205" s="29"/>
      <c r="E205" s="29"/>
      <c r="F205" s="28"/>
      <c r="G205" s="29" t="str">
        <f t="shared" ca="1" si="6"/>
        <v/>
      </c>
      <c r="H205" s="45" t="str">
        <f t="shared" ca="1" si="7"/>
        <v/>
      </c>
      <c r="I205" s="32"/>
    </row>
    <row r="206" spans="1:9">
      <c r="A206" s="28"/>
      <c r="B206" s="29"/>
      <c r="C206" s="30"/>
      <c r="D206" s="29"/>
      <c r="E206" s="29"/>
      <c r="F206" s="28"/>
      <c r="G206" s="29" t="str">
        <f t="shared" ca="1" si="6"/>
        <v/>
      </c>
      <c r="H206" s="45" t="str">
        <f t="shared" ca="1" si="7"/>
        <v/>
      </c>
      <c r="I206" s="32"/>
    </row>
    <row r="207" spans="1:9">
      <c r="A207" s="28"/>
      <c r="B207" s="29"/>
      <c r="C207" s="30"/>
      <c r="D207" s="29"/>
      <c r="E207" s="29"/>
      <c r="F207" s="28"/>
      <c r="G207" s="29" t="str">
        <f t="shared" ca="1" si="6"/>
        <v/>
      </c>
      <c r="H207" s="45" t="str">
        <f t="shared" ca="1" si="7"/>
        <v/>
      </c>
      <c r="I207" s="32"/>
    </row>
    <row r="208" spans="1:9">
      <c r="A208" s="28"/>
      <c r="B208" s="29"/>
      <c r="C208" s="30"/>
      <c r="D208" s="29"/>
      <c r="E208" s="29"/>
      <c r="F208" s="28"/>
      <c r="G208" s="29" t="str">
        <f t="shared" ca="1" si="6"/>
        <v/>
      </c>
      <c r="H208" s="45" t="str">
        <f t="shared" ca="1" si="7"/>
        <v/>
      </c>
      <c r="I208" s="32"/>
    </row>
    <row r="209" spans="1:9">
      <c r="A209" s="28"/>
      <c r="B209" s="29"/>
      <c r="C209" s="30"/>
      <c r="D209" s="29"/>
      <c r="E209" s="29"/>
      <c r="F209" s="28"/>
      <c r="G209" s="29" t="str">
        <f t="shared" ca="1" si="6"/>
        <v/>
      </c>
      <c r="H209" s="45" t="str">
        <f t="shared" ca="1" si="7"/>
        <v/>
      </c>
      <c r="I209" s="32"/>
    </row>
    <row r="210" spans="1:9">
      <c r="A210" s="28"/>
      <c r="B210" s="29"/>
      <c r="C210" s="30"/>
      <c r="D210" s="29"/>
      <c r="E210" s="29"/>
      <c r="F210" s="28"/>
      <c r="G210" s="29" t="str">
        <f t="shared" ca="1" si="6"/>
        <v/>
      </c>
      <c r="H210" s="45" t="str">
        <f t="shared" ca="1" si="7"/>
        <v/>
      </c>
      <c r="I210" s="32"/>
    </row>
    <row r="211" spans="1:9">
      <c r="A211" s="28"/>
      <c r="B211" s="29"/>
      <c r="C211" s="30"/>
      <c r="D211" s="29"/>
      <c r="E211" s="29"/>
      <c r="F211" s="28"/>
      <c r="G211" s="29" t="str">
        <f t="shared" ca="1" si="6"/>
        <v/>
      </c>
      <c r="H211" s="45" t="str">
        <f t="shared" ca="1" si="7"/>
        <v/>
      </c>
      <c r="I211" s="32"/>
    </row>
    <row r="212" spans="1:9">
      <c r="A212" s="28"/>
      <c r="B212" s="29"/>
      <c r="C212" s="30"/>
      <c r="D212" s="29"/>
      <c r="E212" s="29"/>
      <c r="F212" s="28"/>
      <c r="G212" s="29" t="str">
        <f t="shared" ca="1" si="6"/>
        <v/>
      </c>
      <c r="H212" s="45" t="str">
        <f t="shared" ca="1" si="7"/>
        <v/>
      </c>
      <c r="I212" s="32"/>
    </row>
    <row r="213" spans="1:9">
      <c r="A213" s="28"/>
      <c r="B213" s="29"/>
      <c r="C213" s="30"/>
      <c r="D213" s="29"/>
      <c r="E213" s="29"/>
      <c r="F213" s="28"/>
      <c r="G213" s="29" t="str">
        <f t="shared" ca="1" si="6"/>
        <v/>
      </c>
      <c r="H213" s="45" t="str">
        <f t="shared" ca="1" si="7"/>
        <v/>
      </c>
      <c r="I213" s="32"/>
    </row>
    <row r="214" spans="1:9">
      <c r="A214" s="28"/>
      <c r="B214" s="29"/>
      <c r="C214" s="30"/>
      <c r="D214" s="29"/>
      <c r="E214" s="29"/>
      <c r="F214" s="28"/>
      <c r="G214" s="29" t="str">
        <f t="shared" ca="1" si="6"/>
        <v/>
      </c>
      <c r="H214" s="45" t="str">
        <f t="shared" ca="1" si="7"/>
        <v/>
      </c>
      <c r="I214" s="32"/>
    </row>
    <row r="215" spans="1:9">
      <c r="A215" s="28"/>
      <c r="B215" s="29"/>
      <c r="C215" s="30"/>
      <c r="D215" s="29"/>
      <c r="E215" s="29"/>
      <c r="F215" s="28"/>
      <c r="G215" s="29" t="str">
        <f t="shared" ca="1" si="6"/>
        <v/>
      </c>
      <c r="H215" s="45" t="str">
        <f t="shared" ca="1" si="7"/>
        <v/>
      </c>
      <c r="I215" s="32"/>
    </row>
    <row r="216" spans="1:9">
      <c r="A216" s="28"/>
      <c r="B216" s="29"/>
      <c r="C216" s="30"/>
      <c r="D216" s="29"/>
      <c r="E216" s="29"/>
      <c r="F216" s="28"/>
      <c r="G216" s="29" t="str">
        <f t="shared" ca="1" si="6"/>
        <v/>
      </c>
      <c r="H216" s="45" t="str">
        <f t="shared" ca="1" si="7"/>
        <v/>
      </c>
      <c r="I216" s="32"/>
    </row>
    <row r="217" spans="1:9">
      <c r="A217" s="28"/>
      <c r="B217" s="29"/>
      <c r="C217" s="30"/>
      <c r="D217" s="29"/>
      <c r="E217" s="29"/>
      <c r="F217" s="28"/>
      <c r="G217" s="29" t="str">
        <f t="shared" ca="1" si="6"/>
        <v/>
      </c>
      <c r="H217" s="45" t="str">
        <f t="shared" ca="1" si="7"/>
        <v/>
      </c>
      <c r="I217" s="32"/>
    </row>
    <row r="218" spans="1:9">
      <c r="A218" s="28"/>
      <c r="B218" s="29"/>
      <c r="C218" s="30"/>
      <c r="D218" s="29"/>
      <c r="E218" s="29"/>
      <c r="F218" s="28"/>
      <c r="G218" s="29" t="str">
        <f t="shared" ca="1" si="6"/>
        <v/>
      </c>
      <c r="H218" s="45" t="str">
        <f t="shared" ca="1" si="7"/>
        <v/>
      </c>
      <c r="I218" s="32"/>
    </row>
    <row r="219" spans="1:9">
      <c r="A219" s="28"/>
      <c r="B219" s="29"/>
      <c r="C219" s="30"/>
      <c r="D219" s="29"/>
      <c r="E219" s="29"/>
      <c r="F219" s="28"/>
      <c r="G219" s="29" t="str">
        <f t="shared" ca="1" si="6"/>
        <v/>
      </c>
      <c r="H219" s="45" t="str">
        <f t="shared" ca="1" si="7"/>
        <v/>
      </c>
      <c r="I219" s="32"/>
    </row>
    <row r="220" spans="1:9">
      <c r="A220" s="28"/>
      <c r="B220" s="29"/>
      <c r="C220" s="30"/>
      <c r="D220" s="29"/>
      <c r="E220" s="29"/>
      <c r="F220" s="28"/>
      <c r="G220" s="29" t="str">
        <f t="shared" ca="1" si="6"/>
        <v/>
      </c>
      <c r="H220" s="45" t="str">
        <f t="shared" ca="1" si="7"/>
        <v/>
      </c>
      <c r="I220" s="32"/>
    </row>
    <row r="221" spans="1:9">
      <c r="A221" s="28"/>
      <c r="B221" s="29"/>
      <c r="C221" s="30"/>
      <c r="D221" s="29"/>
      <c r="E221" s="29"/>
      <c r="F221" s="28"/>
      <c r="G221" s="29" t="str">
        <f t="shared" ca="1" si="6"/>
        <v/>
      </c>
      <c r="H221" s="45" t="str">
        <f t="shared" ca="1" si="7"/>
        <v/>
      </c>
      <c r="I221" s="32"/>
    </row>
    <row r="222" spans="1:9">
      <c r="A222" s="28"/>
      <c r="B222" s="29"/>
      <c r="C222" s="30"/>
      <c r="D222" s="29"/>
      <c r="E222" s="29"/>
      <c r="F222" s="28"/>
      <c r="G222" s="29" t="str">
        <f t="shared" ca="1" si="6"/>
        <v/>
      </c>
      <c r="H222" s="45" t="str">
        <f t="shared" ca="1" si="7"/>
        <v/>
      </c>
      <c r="I222" s="32"/>
    </row>
    <row r="223" spans="1:9">
      <c r="A223" s="28"/>
      <c r="B223" s="29"/>
      <c r="C223" s="30"/>
      <c r="D223" s="29"/>
      <c r="E223" s="29"/>
      <c r="F223" s="28"/>
      <c r="G223" s="29" t="str">
        <f t="shared" ca="1" si="6"/>
        <v/>
      </c>
      <c r="H223" s="45" t="str">
        <f t="shared" ca="1" si="7"/>
        <v/>
      </c>
      <c r="I223" s="32"/>
    </row>
    <row r="224" spans="1:9">
      <c r="A224" s="28"/>
      <c r="B224" s="29"/>
      <c r="C224" s="30"/>
      <c r="D224" s="29"/>
      <c r="E224" s="29"/>
      <c r="F224" s="28"/>
      <c r="G224" s="29" t="str">
        <f t="shared" ca="1" si="6"/>
        <v/>
      </c>
      <c r="H224" s="45" t="str">
        <f t="shared" ca="1" si="7"/>
        <v/>
      </c>
      <c r="I224" s="32"/>
    </row>
    <row r="225" spans="1:9">
      <c r="A225" s="28"/>
      <c r="B225" s="29"/>
      <c r="C225" s="30"/>
      <c r="D225" s="29"/>
      <c r="E225" s="29"/>
      <c r="F225" s="28"/>
      <c r="G225" s="29" t="str">
        <f t="shared" ca="1" si="6"/>
        <v/>
      </c>
      <c r="H225" s="45" t="str">
        <f t="shared" ca="1" si="7"/>
        <v/>
      </c>
      <c r="I225" s="32"/>
    </row>
    <row r="226" spans="1:9">
      <c r="A226" s="28"/>
      <c r="B226" s="29"/>
      <c r="C226" s="30"/>
      <c r="D226" s="29"/>
      <c r="E226" s="29"/>
      <c r="F226" s="28"/>
      <c r="G226" s="29" t="str">
        <f t="shared" ca="1" si="6"/>
        <v/>
      </c>
      <c r="H226" s="45" t="str">
        <f t="shared" ca="1" si="7"/>
        <v/>
      </c>
      <c r="I226" s="32"/>
    </row>
    <row r="227" spans="1:9">
      <c r="A227" s="28"/>
      <c r="B227" s="29"/>
      <c r="C227" s="30"/>
      <c r="D227" s="29"/>
      <c r="E227" s="29"/>
      <c r="F227" s="28"/>
      <c r="G227" s="29" t="str">
        <f t="shared" ca="1" si="6"/>
        <v/>
      </c>
      <c r="H227" s="45" t="str">
        <f t="shared" ca="1" si="7"/>
        <v/>
      </c>
      <c r="I227" s="32"/>
    </row>
    <row r="228" spans="1:9">
      <c r="A228" s="28"/>
      <c r="B228" s="29"/>
      <c r="C228" s="30"/>
      <c r="D228" s="29"/>
      <c r="E228" s="29"/>
      <c r="F228" s="28"/>
      <c r="G228" s="29" t="str">
        <f t="shared" ca="1" si="6"/>
        <v/>
      </c>
      <c r="H228" s="45" t="str">
        <f t="shared" ca="1" si="7"/>
        <v/>
      </c>
      <c r="I228" s="32"/>
    </row>
    <row r="229" spans="1:9">
      <c r="A229" s="28"/>
      <c r="B229" s="29"/>
      <c r="C229" s="30"/>
      <c r="D229" s="29"/>
      <c r="E229" s="29"/>
      <c r="F229" s="28"/>
      <c r="G229" s="29" t="str">
        <f t="shared" ca="1" si="6"/>
        <v/>
      </c>
      <c r="H229" s="45" t="str">
        <f t="shared" ca="1" si="7"/>
        <v/>
      </c>
      <c r="I229" s="32"/>
    </row>
    <row r="230" spans="1:9">
      <c r="A230" s="28"/>
      <c r="B230" s="29"/>
      <c r="C230" s="30"/>
      <c r="D230" s="29"/>
      <c r="E230" s="29"/>
      <c r="F230" s="28"/>
      <c r="G230" s="29" t="str">
        <f t="shared" ca="1" si="6"/>
        <v/>
      </c>
      <c r="H230" s="45" t="str">
        <f t="shared" ca="1" si="7"/>
        <v/>
      </c>
      <c r="I230" s="32"/>
    </row>
    <row r="231" spans="1:9">
      <c r="A231" s="28"/>
      <c r="B231" s="29"/>
      <c r="C231" s="30"/>
      <c r="D231" s="29"/>
      <c r="E231" s="29"/>
      <c r="F231" s="28"/>
      <c r="G231" s="29" t="str">
        <f t="shared" ca="1" si="6"/>
        <v/>
      </c>
      <c r="H231" s="45" t="str">
        <f t="shared" ca="1" si="7"/>
        <v/>
      </c>
      <c r="I231" s="32"/>
    </row>
    <row r="232" spans="1:9">
      <c r="A232" s="28"/>
      <c r="B232" s="29"/>
      <c r="C232" s="30"/>
      <c r="D232" s="29"/>
      <c r="E232" s="29"/>
      <c r="F232" s="28"/>
      <c r="G232" s="29" t="str">
        <f t="shared" ca="1" si="6"/>
        <v/>
      </c>
      <c r="H232" s="45" t="str">
        <f t="shared" ca="1" si="7"/>
        <v/>
      </c>
      <c r="I232" s="32"/>
    </row>
    <row r="233" spans="1:9">
      <c r="A233" s="28"/>
      <c r="B233" s="29"/>
      <c r="C233" s="30"/>
      <c r="D233" s="29"/>
      <c r="E233" s="29"/>
      <c r="F233" s="28"/>
      <c r="G233" s="29" t="str">
        <f t="shared" ca="1" si="6"/>
        <v/>
      </c>
      <c r="H233" s="45" t="str">
        <f t="shared" ca="1" si="7"/>
        <v/>
      </c>
      <c r="I233" s="32"/>
    </row>
    <row r="234" spans="1:9">
      <c r="A234" s="28"/>
      <c r="B234" s="29"/>
      <c r="C234" s="30"/>
      <c r="D234" s="29"/>
      <c r="E234" s="29"/>
      <c r="F234" s="28"/>
      <c r="G234" s="29" t="str">
        <f t="shared" ca="1" si="6"/>
        <v/>
      </c>
      <c r="H234" s="45" t="str">
        <f t="shared" ca="1" si="7"/>
        <v/>
      </c>
      <c r="I234" s="32"/>
    </row>
    <row r="235" spans="1:9">
      <c r="A235" s="28"/>
      <c r="B235" s="29"/>
      <c r="C235" s="30"/>
      <c r="D235" s="29"/>
      <c r="E235" s="29"/>
      <c r="F235" s="28"/>
      <c r="G235" s="29" t="str">
        <f t="shared" ca="1" si="6"/>
        <v/>
      </c>
      <c r="H235" s="45" t="str">
        <f t="shared" ca="1" si="7"/>
        <v/>
      </c>
      <c r="I235" s="32"/>
    </row>
    <row r="236" spans="1:9">
      <c r="A236" s="28"/>
      <c r="B236" s="29"/>
      <c r="C236" s="30"/>
      <c r="D236" s="29"/>
      <c r="E236" s="29"/>
      <c r="F236" s="28"/>
      <c r="G236" s="29" t="str">
        <f t="shared" ca="1" si="6"/>
        <v/>
      </c>
      <c r="H236" s="45" t="str">
        <f t="shared" ca="1" si="7"/>
        <v/>
      </c>
      <c r="I236" s="32"/>
    </row>
    <row r="237" spans="1:9">
      <c r="A237" s="28"/>
      <c r="B237" s="29"/>
      <c r="C237" s="30"/>
      <c r="D237" s="29"/>
      <c r="E237" s="29"/>
      <c r="F237" s="28"/>
      <c r="G237" s="29" t="str">
        <f t="shared" ca="1" si="6"/>
        <v/>
      </c>
      <c r="H237" s="45" t="str">
        <f t="shared" ca="1" si="7"/>
        <v/>
      </c>
      <c r="I237" s="32"/>
    </row>
    <row r="238" spans="1:9">
      <c r="A238" s="28"/>
      <c r="B238" s="29"/>
      <c r="C238" s="30"/>
      <c r="D238" s="29"/>
      <c r="E238" s="29"/>
      <c r="F238" s="28"/>
      <c r="G238" s="29" t="str">
        <f t="shared" ca="1" si="6"/>
        <v/>
      </c>
      <c r="H238" s="45" t="str">
        <f t="shared" ca="1" si="7"/>
        <v/>
      </c>
      <c r="I238" s="32"/>
    </row>
    <row r="239" spans="1:9">
      <c r="A239" s="28"/>
      <c r="B239" s="29"/>
      <c r="C239" s="30"/>
      <c r="D239" s="29"/>
      <c r="E239" s="29"/>
      <c r="F239" s="28"/>
      <c r="G239" s="29" t="str">
        <f t="shared" ca="1" si="6"/>
        <v/>
      </c>
      <c r="H239" s="45" t="str">
        <f t="shared" ca="1" si="7"/>
        <v/>
      </c>
      <c r="I239" s="32"/>
    </row>
    <row r="240" spans="1:9">
      <c r="A240" s="28"/>
      <c r="B240" s="29"/>
      <c r="C240" s="30"/>
      <c r="D240" s="29"/>
      <c r="E240" s="29"/>
      <c r="F240" s="28"/>
      <c r="G240" s="29" t="str">
        <f t="shared" ca="1" si="6"/>
        <v/>
      </c>
      <c r="H240" s="45" t="str">
        <f t="shared" ca="1" si="7"/>
        <v/>
      </c>
      <c r="I240" s="32"/>
    </row>
    <row r="241" spans="1:9">
      <c r="A241" s="28"/>
      <c r="B241" s="29"/>
      <c r="C241" s="30"/>
      <c r="D241" s="29"/>
      <c r="E241" s="29"/>
      <c r="F241" s="28"/>
      <c r="G241" s="29" t="str">
        <f t="shared" ca="1" si="6"/>
        <v/>
      </c>
      <c r="H241" s="45" t="str">
        <f t="shared" ca="1" si="7"/>
        <v/>
      </c>
      <c r="I241" s="32"/>
    </row>
    <row r="242" spans="1:9">
      <c r="A242" s="28"/>
      <c r="B242" s="29"/>
      <c r="C242" s="30"/>
      <c r="D242" s="29"/>
      <c r="E242" s="29"/>
      <c r="F242" s="28"/>
      <c r="G242" s="29" t="str">
        <f t="shared" ca="1" si="6"/>
        <v/>
      </c>
      <c r="H242" s="45" t="str">
        <f t="shared" ca="1" si="7"/>
        <v/>
      </c>
      <c r="I242" s="32"/>
    </row>
    <row r="243" spans="1:9">
      <c r="A243" s="28"/>
      <c r="B243" s="29"/>
      <c r="C243" s="30"/>
      <c r="D243" s="29"/>
      <c r="E243" s="29"/>
      <c r="F243" s="28"/>
      <c r="G243" s="29" t="str">
        <f t="shared" ca="1" si="6"/>
        <v/>
      </c>
      <c r="H243" s="45" t="str">
        <f t="shared" ca="1" si="7"/>
        <v/>
      </c>
      <c r="I243" s="32"/>
    </row>
    <row r="244" spans="1:9">
      <c r="A244" s="28"/>
      <c r="B244" s="29"/>
      <c r="C244" s="30"/>
      <c r="D244" s="29"/>
      <c r="E244" s="29"/>
      <c r="F244" s="28"/>
      <c r="G244" s="29" t="str">
        <f t="shared" ca="1" si="6"/>
        <v/>
      </c>
      <c r="H244" s="45" t="str">
        <f t="shared" ca="1" si="7"/>
        <v/>
      </c>
      <c r="I244" s="32"/>
    </row>
    <row r="245" spans="1:9">
      <c r="A245" s="28"/>
      <c r="B245" s="29"/>
      <c r="C245" s="30"/>
      <c r="D245" s="29"/>
      <c r="E245" s="29"/>
      <c r="F245" s="28"/>
      <c r="G245" s="29" t="str">
        <f t="shared" ca="1" si="6"/>
        <v/>
      </c>
      <c r="H245" s="45" t="str">
        <f t="shared" ca="1" si="7"/>
        <v/>
      </c>
      <c r="I245" s="32"/>
    </row>
    <row r="246" spans="1:9">
      <c r="A246" s="28"/>
      <c r="B246" s="29"/>
      <c r="C246" s="30"/>
      <c r="D246" s="29"/>
      <c r="E246" s="29"/>
      <c r="F246" s="28"/>
      <c r="G246" s="29" t="str">
        <f t="shared" ca="1" si="6"/>
        <v/>
      </c>
      <c r="H246" s="45" t="str">
        <f t="shared" ca="1" si="7"/>
        <v/>
      </c>
      <c r="I246" s="32"/>
    </row>
    <row r="247" spans="1:9">
      <c r="A247" s="28"/>
      <c r="B247" s="29"/>
      <c r="C247" s="30"/>
      <c r="D247" s="29"/>
      <c r="E247" s="29"/>
      <c r="F247" s="28"/>
      <c r="G247" s="29" t="str">
        <f t="shared" ca="1" si="6"/>
        <v/>
      </c>
      <c r="H247" s="45" t="str">
        <f t="shared" ca="1" si="7"/>
        <v/>
      </c>
      <c r="I247" s="32"/>
    </row>
    <row r="248" spans="1:9">
      <c r="A248" s="28"/>
      <c r="B248" s="29"/>
      <c r="C248" s="30"/>
      <c r="D248" s="29"/>
      <c r="E248" s="29"/>
      <c r="F248" s="28"/>
      <c r="G248" s="29" t="str">
        <f t="shared" ca="1" si="6"/>
        <v/>
      </c>
      <c r="H248" s="45" t="str">
        <f t="shared" ca="1" si="7"/>
        <v/>
      </c>
      <c r="I248" s="32"/>
    </row>
    <row r="249" spans="1:9">
      <c r="A249" s="28"/>
      <c r="B249" s="29"/>
      <c r="C249" s="30"/>
      <c r="D249" s="29"/>
      <c r="E249" s="29"/>
      <c r="F249" s="28"/>
      <c r="G249" s="29" t="str">
        <f t="shared" ca="1" si="6"/>
        <v/>
      </c>
      <c r="H249" s="45" t="str">
        <f t="shared" ca="1" si="7"/>
        <v/>
      </c>
      <c r="I249" s="32"/>
    </row>
    <row r="250" spans="1:9">
      <c r="A250" s="28"/>
      <c r="B250" s="29"/>
      <c r="C250" s="30"/>
      <c r="D250" s="29"/>
      <c r="E250" s="29"/>
      <c r="F250" s="28"/>
      <c r="G250" s="29" t="str">
        <f t="shared" ca="1" si="6"/>
        <v/>
      </c>
      <c r="H250" s="45" t="str">
        <f t="shared" ca="1" si="7"/>
        <v/>
      </c>
      <c r="I250" s="32"/>
    </row>
    <row r="251" spans="1:9">
      <c r="A251" s="28"/>
      <c r="B251" s="29"/>
      <c r="C251" s="30"/>
      <c r="D251" s="29"/>
      <c r="E251" s="29"/>
      <c r="F251" s="28"/>
      <c r="G251" s="29" t="str">
        <f t="shared" ca="1" si="6"/>
        <v/>
      </c>
      <c r="H251" s="45" t="str">
        <f t="shared" ca="1" si="7"/>
        <v/>
      </c>
      <c r="I251" s="32"/>
    </row>
    <row r="252" spans="1:9">
      <c r="A252" s="28"/>
      <c r="B252" s="29"/>
      <c r="C252" s="30"/>
      <c r="D252" s="29"/>
      <c r="E252" s="29"/>
      <c r="F252" s="28"/>
      <c r="G252" s="29" t="str">
        <f t="shared" ca="1" si="6"/>
        <v/>
      </c>
      <c r="H252" s="45" t="str">
        <f t="shared" ca="1" si="7"/>
        <v/>
      </c>
      <c r="I252" s="32"/>
    </row>
    <row r="253" spans="1:9">
      <c r="A253" s="28"/>
      <c r="B253" s="29"/>
      <c r="C253" s="30"/>
      <c r="D253" s="29"/>
      <c r="E253" s="29"/>
      <c r="F253" s="28"/>
      <c r="G253" s="29" t="str">
        <f t="shared" ca="1" si="6"/>
        <v/>
      </c>
      <c r="H253" s="45" t="str">
        <f t="shared" ca="1" si="7"/>
        <v/>
      </c>
      <c r="I253" s="32"/>
    </row>
    <row r="254" spans="1:9">
      <c r="A254" s="28"/>
      <c r="B254" s="29"/>
      <c r="C254" s="30"/>
      <c r="D254" s="29"/>
      <c r="E254" s="29"/>
      <c r="F254" s="28"/>
      <c r="G254" s="29" t="str">
        <f t="shared" ca="1" si="6"/>
        <v/>
      </c>
      <c r="H254" s="45" t="str">
        <f t="shared" ca="1" si="7"/>
        <v/>
      </c>
      <c r="I254" s="32"/>
    </row>
    <row r="255" spans="1:9">
      <c r="A255" s="28"/>
      <c r="B255" s="29"/>
      <c r="C255" s="30"/>
      <c r="D255" s="29"/>
      <c r="E255" s="29"/>
      <c r="F255" s="28"/>
      <c r="G255" s="29" t="str">
        <f t="shared" ca="1" si="6"/>
        <v/>
      </c>
      <c r="H255" s="45" t="str">
        <f t="shared" ca="1" si="7"/>
        <v/>
      </c>
      <c r="I255" s="32"/>
    </row>
    <row r="256" spans="1:9">
      <c r="A256" s="28"/>
      <c r="B256" s="29"/>
      <c r="C256" s="30"/>
      <c r="D256" s="29"/>
      <c r="E256" s="29"/>
      <c r="F256" s="28"/>
      <c r="G256" s="29" t="str">
        <f t="shared" ca="1" si="6"/>
        <v/>
      </c>
      <c r="H256" s="45" t="str">
        <f t="shared" ca="1" si="7"/>
        <v/>
      </c>
      <c r="I256" s="32"/>
    </row>
    <row r="257" spans="1:9">
      <c r="A257" s="28"/>
      <c r="B257" s="29"/>
      <c r="C257" s="30"/>
      <c r="D257" s="29"/>
      <c r="E257" s="29"/>
      <c r="F257" s="28"/>
      <c r="G257" s="29" t="str">
        <f t="shared" ca="1" si="6"/>
        <v/>
      </c>
      <c r="H257" s="45" t="str">
        <f t="shared" ca="1" si="7"/>
        <v/>
      </c>
      <c r="I257" s="32"/>
    </row>
    <row r="258" spans="1:9">
      <c r="A258" s="28"/>
      <c r="B258" s="29"/>
      <c r="C258" s="30"/>
      <c r="D258" s="29"/>
      <c r="E258" s="29"/>
      <c r="F258" s="28"/>
      <c r="G258" s="29" t="str">
        <f t="shared" ref="G258:G321" ca="1" si="8">IF(A258="","",IF(F258="","Sin vencimiento",IF(F258&lt;TODAY(),"Vencida",IF(F258&lt;=TODAY()+30,"Por vencer","Vigente"))))</f>
        <v/>
      </c>
      <c r="H258" s="45" t="str">
        <f t="shared" ref="H258:H321" ca="1" si="9">IF(A258="","",IF(F258="","",F258-TODAY()))</f>
        <v/>
      </c>
      <c r="I258" s="32"/>
    </row>
    <row r="259" spans="1:9">
      <c r="A259" s="28"/>
      <c r="B259" s="29"/>
      <c r="C259" s="30"/>
      <c r="D259" s="29"/>
      <c r="E259" s="29"/>
      <c r="F259" s="28"/>
      <c r="G259" s="29" t="str">
        <f t="shared" ca="1" si="8"/>
        <v/>
      </c>
      <c r="H259" s="45" t="str">
        <f t="shared" ca="1" si="9"/>
        <v/>
      </c>
      <c r="I259" s="32"/>
    </row>
    <row r="260" spans="1:9">
      <c r="A260" s="28"/>
      <c r="B260" s="29"/>
      <c r="C260" s="30"/>
      <c r="D260" s="29"/>
      <c r="E260" s="29"/>
      <c r="F260" s="28"/>
      <c r="G260" s="29" t="str">
        <f t="shared" ca="1" si="8"/>
        <v/>
      </c>
      <c r="H260" s="45" t="str">
        <f t="shared" ca="1" si="9"/>
        <v/>
      </c>
      <c r="I260" s="32"/>
    </row>
    <row r="261" spans="1:9">
      <c r="A261" s="28"/>
      <c r="B261" s="29"/>
      <c r="C261" s="30"/>
      <c r="D261" s="29"/>
      <c r="E261" s="29"/>
      <c r="F261" s="28"/>
      <c r="G261" s="29" t="str">
        <f t="shared" ca="1" si="8"/>
        <v/>
      </c>
      <c r="H261" s="45" t="str">
        <f t="shared" ca="1" si="9"/>
        <v/>
      </c>
      <c r="I261" s="32"/>
    </row>
    <row r="262" spans="1:9">
      <c r="A262" s="28"/>
      <c r="B262" s="29"/>
      <c r="C262" s="30"/>
      <c r="D262" s="29"/>
      <c r="E262" s="29"/>
      <c r="F262" s="28"/>
      <c r="G262" s="29" t="str">
        <f t="shared" ca="1" si="8"/>
        <v/>
      </c>
      <c r="H262" s="45" t="str">
        <f t="shared" ca="1" si="9"/>
        <v/>
      </c>
      <c r="I262" s="32"/>
    </row>
    <row r="263" spans="1:9">
      <c r="A263" s="28"/>
      <c r="B263" s="29"/>
      <c r="C263" s="30"/>
      <c r="D263" s="29"/>
      <c r="E263" s="29"/>
      <c r="F263" s="28"/>
      <c r="G263" s="29" t="str">
        <f t="shared" ca="1" si="8"/>
        <v/>
      </c>
      <c r="H263" s="45" t="str">
        <f t="shared" ca="1" si="9"/>
        <v/>
      </c>
      <c r="I263" s="32"/>
    </row>
    <row r="264" spans="1:9">
      <c r="A264" s="28"/>
      <c r="B264" s="29"/>
      <c r="C264" s="30"/>
      <c r="D264" s="29"/>
      <c r="E264" s="29"/>
      <c r="F264" s="28"/>
      <c r="G264" s="29" t="str">
        <f t="shared" ca="1" si="8"/>
        <v/>
      </c>
      <c r="H264" s="45" t="str">
        <f t="shared" ca="1" si="9"/>
        <v/>
      </c>
      <c r="I264" s="32"/>
    </row>
    <row r="265" spans="1:9">
      <c r="A265" s="28"/>
      <c r="B265" s="29"/>
      <c r="C265" s="30"/>
      <c r="D265" s="29"/>
      <c r="E265" s="29"/>
      <c r="F265" s="28"/>
      <c r="G265" s="29" t="str">
        <f t="shared" ca="1" si="8"/>
        <v/>
      </c>
      <c r="H265" s="45" t="str">
        <f t="shared" ca="1" si="9"/>
        <v/>
      </c>
      <c r="I265" s="32"/>
    </row>
    <row r="266" spans="1:9">
      <c r="A266" s="28"/>
      <c r="B266" s="29"/>
      <c r="C266" s="30"/>
      <c r="D266" s="29"/>
      <c r="E266" s="29"/>
      <c r="F266" s="28"/>
      <c r="G266" s="29" t="str">
        <f t="shared" ca="1" si="8"/>
        <v/>
      </c>
      <c r="H266" s="45" t="str">
        <f t="shared" ca="1" si="9"/>
        <v/>
      </c>
      <c r="I266" s="32"/>
    </row>
    <row r="267" spans="1:9">
      <c r="A267" s="28"/>
      <c r="B267" s="29"/>
      <c r="C267" s="30"/>
      <c r="D267" s="29"/>
      <c r="E267" s="29"/>
      <c r="F267" s="28"/>
      <c r="G267" s="29" t="str">
        <f t="shared" ca="1" si="8"/>
        <v/>
      </c>
      <c r="H267" s="45" t="str">
        <f t="shared" ca="1" si="9"/>
        <v/>
      </c>
      <c r="I267" s="32"/>
    </row>
    <row r="268" spans="1:9">
      <c r="A268" s="28"/>
      <c r="B268" s="29"/>
      <c r="C268" s="30"/>
      <c r="D268" s="29"/>
      <c r="E268" s="29"/>
      <c r="F268" s="28"/>
      <c r="G268" s="29" t="str">
        <f t="shared" ca="1" si="8"/>
        <v/>
      </c>
      <c r="H268" s="45" t="str">
        <f t="shared" ca="1" si="9"/>
        <v/>
      </c>
      <c r="I268" s="32"/>
    </row>
    <row r="269" spans="1:9">
      <c r="A269" s="28"/>
      <c r="B269" s="29"/>
      <c r="C269" s="30"/>
      <c r="D269" s="29"/>
      <c r="E269" s="29"/>
      <c r="F269" s="28"/>
      <c r="G269" s="29" t="str">
        <f t="shared" ca="1" si="8"/>
        <v/>
      </c>
      <c r="H269" s="45" t="str">
        <f t="shared" ca="1" si="9"/>
        <v/>
      </c>
      <c r="I269" s="32"/>
    </row>
    <row r="270" spans="1:9">
      <c r="A270" s="28"/>
      <c r="B270" s="29"/>
      <c r="C270" s="30"/>
      <c r="D270" s="29"/>
      <c r="E270" s="29"/>
      <c r="F270" s="28"/>
      <c r="G270" s="29" t="str">
        <f t="shared" ca="1" si="8"/>
        <v/>
      </c>
      <c r="H270" s="45" t="str">
        <f t="shared" ca="1" si="9"/>
        <v/>
      </c>
      <c r="I270" s="32"/>
    </row>
    <row r="271" spans="1:9">
      <c r="A271" s="28"/>
      <c r="B271" s="29"/>
      <c r="C271" s="30"/>
      <c r="D271" s="29"/>
      <c r="E271" s="29"/>
      <c r="F271" s="28"/>
      <c r="G271" s="29" t="str">
        <f t="shared" ca="1" si="8"/>
        <v/>
      </c>
      <c r="H271" s="45" t="str">
        <f t="shared" ca="1" si="9"/>
        <v/>
      </c>
      <c r="I271" s="32"/>
    </row>
    <row r="272" spans="1:9">
      <c r="A272" s="28"/>
      <c r="B272" s="29"/>
      <c r="C272" s="30"/>
      <c r="D272" s="29"/>
      <c r="E272" s="29"/>
      <c r="F272" s="28"/>
      <c r="G272" s="29" t="str">
        <f t="shared" ca="1" si="8"/>
        <v/>
      </c>
      <c r="H272" s="45" t="str">
        <f t="shared" ca="1" si="9"/>
        <v/>
      </c>
      <c r="I272" s="32"/>
    </row>
    <row r="273" spans="1:9">
      <c r="A273" s="28"/>
      <c r="B273" s="29"/>
      <c r="C273" s="30"/>
      <c r="D273" s="29"/>
      <c r="E273" s="29"/>
      <c r="F273" s="28"/>
      <c r="G273" s="29" t="str">
        <f t="shared" ca="1" si="8"/>
        <v/>
      </c>
      <c r="H273" s="45" t="str">
        <f t="shared" ca="1" si="9"/>
        <v/>
      </c>
      <c r="I273" s="32"/>
    </row>
    <row r="274" spans="1:9">
      <c r="A274" s="33"/>
      <c r="B274" s="34"/>
      <c r="C274" s="35"/>
      <c r="D274" s="29"/>
      <c r="E274" s="29"/>
      <c r="F274" s="28"/>
      <c r="G274" s="29" t="str">
        <f t="shared" ca="1" si="8"/>
        <v/>
      </c>
      <c r="H274" s="45" t="str">
        <f t="shared" ca="1" si="9"/>
        <v/>
      </c>
      <c r="I274" s="32"/>
    </row>
    <row r="275" spans="1:9">
      <c r="A275" s="36"/>
      <c r="B275" s="37"/>
      <c r="C275" s="38"/>
      <c r="D275" s="29"/>
      <c r="E275" s="29"/>
      <c r="F275" s="28"/>
      <c r="G275" s="29" t="str">
        <f t="shared" ca="1" si="8"/>
        <v/>
      </c>
      <c r="H275" s="45" t="str">
        <f t="shared" ca="1" si="9"/>
        <v/>
      </c>
      <c r="I275" s="32"/>
    </row>
    <row r="276" spans="1:9">
      <c r="A276" s="36"/>
      <c r="B276" s="37"/>
      <c r="C276" s="38"/>
      <c r="D276" s="29"/>
      <c r="E276" s="29"/>
      <c r="F276" s="28"/>
      <c r="G276" s="29" t="str">
        <f t="shared" ca="1" si="8"/>
        <v/>
      </c>
      <c r="H276" s="45" t="str">
        <f t="shared" ca="1" si="9"/>
        <v/>
      </c>
      <c r="I276" s="32"/>
    </row>
    <row r="277" spans="1:9">
      <c r="A277" s="36"/>
      <c r="B277" s="37"/>
      <c r="C277" s="38"/>
      <c r="D277" s="29"/>
      <c r="E277" s="29"/>
      <c r="F277" s="28"/>
      <c r="G277" s="29" t="str">
        <f t="shared" ca="1" si="8"/>
        <v/>
      </c>
      <c r="H277" s="45" t="str">
        <f t="shared" ca="1" si="9"/>
        <v/>
      </c>
      <c r="I277" s="32"/>
    </row>
    <row r="278" spans="1:9">
      <c r="A278" s="36"/>
      <c r="B278" s="37"/>
      <c r="C278" s="38"/>
      <c r="D278" s="29"/>
      <c r="E278" s="29"/>
      <c r="F278" s="28"/>
      <c r="G278" s="29" t="str">
        <f t="shared" ca="1" si="8"/>
        <v/>
      </c>
      <c r="H278" s="45" t="str">
        <f t="shared" ca="1" si="9"/>
        <v/>
      </c>
      <c r="I278" s="32"/>
    </row>
    <row r="279" spans="1:9">
      <c r="A279" s="36"/>
      <c r="B279" s="37"/>
      <c r="C279" s="38"/>
      <c r="D279" s="29"/>
      <c r="E279" s="29"/>
      <c r="F279" s="28"/>
      <c r="G279" s="29" t="str">
        <f t="shared" ca="1" si="8"/>
        <v/>
      </c>
      <c r="H279" s="45" t="str">
        <f t="shared" ca="1" si="9"/>
        <v/>
      </c>
      <c r="I279" s="32"/>
    </row>
    <row r="280" spans="1:9">
      <c r="A280" s="36"/>
      <c r="B280" s="37"/>
      <c r="C280" s="38"/>
      <c r="D280" s="29"/>
      <c r="E280" s="29"/>
      <c r="F280" s="28"/>
      <c r="G280" s="29" t="str">
        <f t="shared" ca="1" si="8"/>
        <v/>
      </c>
      <c r="H280" s="45" t="str">
        <f t="shared" ca="1" si="9"/>
        <v/>
      </c>
      <c r="I280" s="32"/>
    </row>
    <row r="281" spans="1:9">
      <c r="A281" s="36"/>
      <c r="B281" s="37"/>
      <c r="C281" s="38"/>
      <c r="D281" s="29"/>
      <c r="E281" s="29"/>
      <c r="F281" s="28"/>
      <c r="G281" s="29" t="str">
        <f t="shared" ca="1" si="8"/>
        <v/>
      </c>
      <c r="H281" s="45" t="str">
        <f t="shared" ca="1" si="9"/>
        <v/>
      </c>
      <c r="I281" s="32"/>
    </row>
    <row r="282" spans="1:9">
      <c r="A282" s="36"/>
      <c r="B282" s="37"/>
      <c r="C282" s="38"/>
      <c r="D282" s="29"/>
      <c r="E282" s="29"/>
      <c r="F282" s="28"/>
      <c r="G282" s="29" t="str">
        <f t="shared" ca="1" si="8"/>
        <v/>
      </c>
      <c r="H282" s="45" t="str">
        <f t="shared" ca="1" si="9"/>
        <v/>
      </c>
      <c r="I282" s="32"/>
    </row>
    <row r="283" spans="1:9">
      <c r="A283" s="36"/>
      <c r="B283" s="37"/>
      <c r="C283" s="38"/>
      <c r="D283" s="29"/>
      <c r="E283" s="29"/>
      <c r="F283" s="28"/>
      <c r="G283" s="29" t="str">
        <f t="shared" ca="1" si="8"/>
        <v/>
      </c>
      <c r="H283" s="45" t="str">
        <f t="shared" ca="1" si="9"/>
        <v/>
      </c>
      <c r="I283" s="32"/>
    </row>
    <row r="284" spans="1:9">
      <c r="A284" s="36"/>
      <c r="B284" s="37"/>
      <c r="C284" s="38"/>
      <c r="D284" s="29"/>
      <c r="E284" s="29"/>
      <c r="F284" s="28"/>
      <c r="G284" s="29" t="str">
        <f t="shared" ca="1" si="8"/>
        <v/>
      </c>
      <c r="H284" s="45" t="str">
        <f t="shared" ca="1" si="9"/>
        <v/>
      </c>
      <c r="I284" s="32"/>
    </row>
    <row r="285" spans="1:9">
      <c r="A285" s="36"/>
      <c r="B285" s="37"/>
      <c r="C285" s="38"/>
      <c r="D285" s="29"/>
      <c r="E285" s="29"/>
      <c r="F285" s="28"/>
      <c r="G285" s="29" t="str">
        <f t="shared" ca="1" si="8"/>
        <v/>
      </c>
      <c r="H285" s="45" t="str">
        <f t="shared" ca="1" si="9"/>
        <v/>
      </c>
      <c r="I285" s="32"/>
    </row>
    <row r="286" spans="1:9">
      <c r="A286" s="36"/>
      <c r="B286" s="37"/>
      <c r="C286" s="38"/>
      <c r="D286" s="29"/>
      <c r="E286" s="29"/>
      <c r="F286" s="28"/>
      <c r="G286" s="29" t="str">
        <f t="shared" ca="1" si="8"/>
        <v/>
      </c>
      <c r="H286" s="45" t="str">
        <f t="shared" ca="1" si="9"/>
        <v/>
      </c>
      <c r="I286" s="32"/>
    </row>
    <row r="287" spans="1:9">
      <c r="A287" s="36"/>
      <c r="B287" s="37"/>
      <c r="C287" s="38"/>
      <c r="D287" s="29"/>
      <c r="E287" s="29"/>
      <c r="F287" s="28"/>
      <c r="G287" s="29" t="str">
        <f t="shared" ca="1" si="8"/>
        <v/>
      </c>
      <c r="H287" s="45" t="str">
        <f t="shared" ca="1" si="9"/>
        <v/>
      </c>
      <c r="I287" s="32"/>
    </row>
    <row r="288" spans="1:9">
      <c r="A288" s="36"/>
      <c r="B288" s="37"/>
      <c r="C288" s="38"/>
      <c r="D288" s="29"/>
      <c r="E288" s="29"/>
      <c r="F288" s="28"/>
      <c r="G288" s="29" t="str">
        <f t="shared" ca="1" si="8"/>
        <v/>
      </c>
      <c r="H288" s="45" t="str">
        <f t="shared" ca="1" si="9"/>
        <v/>
      </c>
      <c r="I288" s="32"/>
    </row>
    <row r="289" spans="1:9">
      <c r="A289" s="36"/>
      <c r="B289" s="37"/>
      <c r="C289" s="38"/>
      <c r="D289" s="29"/>
      <c r="E289" s="29"/>
      <c r="F289" s="28"/>
      <c r="G289" s="29" t="str">
        <f t="shared" ca="1" si="8"/>
        <v/>
      </c>
      <c r="H289" s="45" t="str">
        <f t="shared" ca="1" si="9"/>
        <v/>
      </c>
      <c r="I289" s="32"/>
    </row>
    <row r="290" spans="1:9">
      <c r="A290" s="36"/>
      <c r="B290" s="37"/>
      <c r="C290" s="38"/>
      <c r="D290" s="29"/>
      <c r="E290" s="29"/>
      <c r="F290" s="28"/>
      <c r="G290" s="29" t="str">
        <f t="shared" ca="1" si="8"/>
        <v/>
      </c>
      <c r="H290" s="45" t="str">
        <f t="shared" ca="1" si="9"/>
        <v/>
      </c>
      <c r="I290" s="32"/>
    </row>
    <row r="291" spans="1:9">
      <c r="A291" s="36"/>
      <c r="B291" s="37"/>
      <c r="C291" s="38"/>
      <c r="D291" s="29"/>
      <c r="E291" s="29"/>
      <c r="F291" s="28"/>
      <c r="G291" s="29" t="str">
        <f t="shared" ca="1" si="8"/>
        <v/>
      </c>
      <c r="H291" s="45" t="str">
        <f t="shared" ca="1" si="9"/>
        <v/>
      </c>
      <c r="I291" s="32"/>
    </row>
    <row r="292" spans="1:9">
      <c r="A292" s="36"/>
      <c r="B292" s="37"/>
      <c r="C292" s="38"/>
      <c r="D292" s="29"/>
      <c r="E292" s="29"/>
      <c r="F292" s="28"/>
      <c r="G292" s="29" t="str">
        <f t="shared" ca="1" si="8"/>
        <v/>
      </c>
      <c r="H292" s="45" t="str">
        <f t="shared" ca="1" si="9"/>
        <v/>
      </c>
      <c r="I292" s="32"/>
    </row>
    <row r="293" spans="1:9">
      <c r="A293" s="36"/>
      <c r="B293" s="37"/>
      <c r="C293" s="38"/>
      <c r="D293" s="29"/>
      <c r="E293" s="29"/>
      <c r="F293" s="28"/>
      <c r="G293" s="29" t="str">
        <f t="shared" ca="1" si="8"/>
        <v/>
      </c>
      <c r="H293" s="45" t="str">
        <f t="shared" ca="1" si="9"/>
        <v/>
      </c>
      <c r="I293" s="32"/>
    </row>
    <row r="294" spans="1:9">
      <c r="A294" s="36"/>
      <c r="B294" s="37"/>
      <c r="C294" s="38"/>
      <c r="D294" s="29"/>
      <c r="E294" s="29"/>
      <c r="F294" s="28"/>
      <c r="G294" s="29" t="str">
        <f t="shared" ca="1" si="8"/>
        <v/>
      </c>
      <c r="H294" s="45" t="str">
        <f t="shared" ca="1" si="9"/>
        <v/>
      </c>
      <c r="I294" s="32"/>
    </row>
    <row r="295" spans="1:9">
      <c r="A295" s="36"/>
      <c r="B295" s="37"/>
      <c r="C295" s="38"/>
      <c r="D295" s="29"/>
      <c r="E295" s="29"/>
      <c r="F295" s="28"/>
      <c r="G295" s="29" t="str">
        <f t="shared" ca="1" si="8"/>
        <v/>
      </c>
      <c r="H295" s="45" t="str">
        <f t="shared" ca="1" si="9"/>
        <v/>
      </c>
      <c r="I295" s="32"/>
    </row>
    <row r="296" spans="1:9">
      <c r="A296" s="36"/>
      <c r="B296" s="37"/>
      <c r="C296" s="38"/>
      <c r="D296" s="29"/>
      <c r="E296" s="29"/>
      <c r="F296" s="28"/>
      <c r="G296" s="29" t="str">
        <f t="shared" ca="1" si="8"/>
        <v/>
      </c>
      <c r="H296" s="45" t="str">
        <f t="shared" ca="1" si="9"/>
        <v/>
      </c>
      <c r="I296" s="32"/>
    </row>
    <row r="297" spans="1:9">
      <c r="A297" s="36"/>
      <c r="B297" s="37"/>
      <c r="C297" s="38"/>
      <c r="D297" s="29"/>
      <c r="E297" s="29"/>
      <c r="F297" s="28"/>
      <c r="G297" s="29" t="str">
        <f t="shared" ca="1" si="8"/>
        <v/>
      </c>
      <c r="H297" s="45" t="str">
        <f t="shared" ca="1" si="9"/>
        <v/>
      </c>
      <c r="I297" s="32"/>
    </row>
    <row r="298" spans="1:9">
      <c r="A298" s="36"/>
      <c r="B298" s="37"/>
      <c r="C298" s="38"/>
      <c r="D298" s="29"/>
      <c r="E298" s="29"/>
      <c r="F298" s="28"/>
      <c r="G298" s="29" t="str">
        <f t="shared" ca="1" si="8"/>
        <v/>
      </c>
      <c r="H298" s="45" t="str">
        <f t="shared" ca="1" si="9"/>
        <v/>
      </c>
      <c r="I298" s="32"/>
    </row>
    <row r="299" spans="1:9">
      <c r="A299" s="36"/>
      <c r="B299" s="37"/>
      <c r="C299" s="38"/>
      <c r="D299" s="29"/>
      <c r="E299" s="29"/>
      <c r="F299" s="28"/>
      <c r="G299" s="29" t="str">
        <f t="shared" ca="1" si="8"/>
        <v/>
      </c>
      <c r="H299" s="45" t="str">
        <f t="shared" ca="1" si="9"/>
        <v/>
      </c>
      <c r="I299" s="32"/>
    </row>
    <row r="300" spans="1:9">
      <c r="A300" s="36"/>
      <c r="B300" s="37"/>
      <c r="C300" s="38"/>
      <c r="D300" s="29"/>
      <c r="E300" s="29"/>
      <c r="F300" s="28"/>
      <c r="G300" s="29" t="str">
        <f t="shared" ca="1" si="8"/>
        <v/>
      </c>
      <c r="H300" s="45" t="str">
        <f t="shared" ca="1" si="9"/>
        <v/>
      </c>
      <c r="I300" s="32"/>
    </row>
    <row r="301" spans="1:9">
      <c r="A301" s="36"/>
      <c r="B301" s="37"/>
      <c r="C301" s="38"/>
      <c r="D301" s="29"/>
      <c r="E301" s="29"/>
      <c r="F301" s="28"/>
      <c r="G301" s="29" t="str">
        <f t="shared" ca="1" si="8"/>
        <v/>
      </c>
      <c r="H301" s="45" t="str">
        <f t="shared" ca="1" si="9"/>
        <v/>
      </c>
      <c r="I301" s="32"/>
    </row>
    <row r="302" spans="1:9">
      <c r="A302" s="36"/>
      <c r="B302" s="37"/>
      <c r="C302" s="38"/>
      <c r="D302" s="29"/>
      <c r="E302" s="29"/>
      <c r="F302" s="28"/>
      <c r="G302" s="29" t="str">
        <f t="shared" ca="1" si="8"/>
        <v/>
      </c>
      <c r="H302" s="45" t="str">
        <f t="shared" ca="1" si="9"/>
        <v/>
      </c>
      <c r="I302" s="32"/>
    </row>
    <row r="303" spans="1:9">
      <c r="A303" s="36"/>
      <c r="B303" s="37"/>
      <c r="C303" s="38"/>
      <c r="D303" s="29"/>
      <c r="E303" s="29"/>
      <c r="F303" s="28"/>
      <c r="G303" s="29" t="str">
        <f t="shared" ca="1" si="8"/>
        <v/>
      </c>
      <c r="H303" s="45" t="str">
        <f t="shared" ca="1" si="9"/>
        <v/>
      </c>
      <c r="I303" s="32"/>
    </row>
    <row r="304" spans="1:9">
      <c r="A304" s="36"/>
      <c r="B304" s="37"/>
      <c r="C304" s="38"/>
      <c r="D304" s="29"/>
      <c r="E304" s="29"/>
      <c r="F304" s="28"/>
      <c r="G304" s="29" t="str">
        <f t="shared" ca="1" si="8"/>
        <v/>
      </c>
      <c r="H304" s="45" t="str">
        <f t="shared" ca="1" si="9"/>
        <v/>
      </c>
      <c r="I304" s="32"/>
    </row>
    <row r="305" spans="1:9">
      <c r="A305" s="36"/>
      <c r="B305" s="37"/>
      <c r="C305" s="38"/>
      <c r="D305" s="29"/>
      <c r="E305" s="29"/>
      <c r="F305" s="28"/>
      <c r="G305" s="29" t="str">
        <f t="shared" ca="1" si="8"/>
        <v/>
      </c>
      <c r="H305" s="45" t="str">
        <f t="shared" ca="1" si="9"/>
        <v/>
      </c>
      <c r="I305" s="32"/>
    </row>
    <row r="306" spans="1:9">
      <c r="A306" s="36"/>
      <c r="B306" s="37"/>
      <c r="C306" s="38"/>
      <c r="D306" s="29"/>
      <c r="E306" s="29"/>
      <c r="F306" s="28"/>
      <c r="G306" s="29" t="str">
        <f t="shared" ca="1" si="8"/>
        <v/>
      </c>
      <c r="H306" s="45" t="str">
        <f t="shared" ca="1" si="9"/>
        <v/>
      </c>
      <c r="I306" s="32"/>
    </row>
    <row r="307" spans="1:9">
      <c r="A307" s="36"/>
      <c r="B307" s="37"/>
      <c r="C307" s="38"/>
      <c r="D307" s="29"/>
      <c r="E307" s="29"/>
      <c r="F307" s="28"/>
      <c r="G307" s="29" t="str">
        <f t="shared" ca="1" si="8"/>
        <v/>
      </c>
      <c r="H307" s="45" t="str">
        <f t="shared" ca="1" si="9"/>
        <v/>
      </c>
      <c r="I307" s="32"/>
    </row>
    <row r="308" spans="1:9">
      <c r="A308" s="36"/>
      <c r="B308" s="37"/>
      <c r="C308" s="38"/>
      <c r="D308" s="29"/>
      <c r="E308" s="29"/>
      <c r="F308" s="28"/>
      <c r="G308" s="29" t="str">
        <f t="shared" ca="1" si="8"/>
        <v/>
      </c>
      <c r="H308" s="45" t="str">
        <f t="shared" ca="1" si="9"/>
        <v/>
      </c>
      <c r="I308" s="32"/>
    </row>
    <row r="309" spans="1:9">
      <c r="A309" s="36"/>
      <c r="B309" s="37"/>
      <c r="C309" s="38"/>
      <c r="D309" s="29"/>
      <c r="E309" s="29"/>
      <c r="F309" s="28"/>
      <c r="G309" s="29" t="str">
        <f t="shared" ca="1" si="8"/>
        <v/>
      </c>
      <c r="H309" s="45" t="str">
        <f t="shared" ca="1" si="9"/>
        <v/>
      </c>
      <c r="I309" s="32"/>
    </row>
    <row r="310" spans="1:9">
      <c r="A310" s="36"/>
      <c r="B310" s="37"/>
      <c r="C310" s="38"/>
      <c r="D310" s="29"/>
      <c r="E310" s="29"/>
      <c r="F310" s="28"/>
      <c r="G310" s="29" t="str">
        <f t="shared" ca="1" si="8"/>
        <v/>
      </c>
      <c r="H310" s="45" t="str">
        <f t="shared" ca="1" si="9"/>
        <v/>
      </c>
      <c r="I310" s="32"/>
    </row>
    <row r="311" spans="1:9">
      <c r="A311" s="36"/>
      <c r="B311" s="37"/>
      <c r="C311" s="38"/>
      <c r="D311" s="29"/>
      <c r="E311" s="29"/>
      <c r="F311" s="28"/>
      <c r="G311" s="29" t="str">
        <f t="shared" ca="1" si="8"/>
        <v/>
      </c>
      <c r="H311" s="45" t="str">
        <f t="shared" ca="1" si="9"/>
        <v/>
      </c>
      <c r="I311" s="32"/>
    </row>
    <row r="312" spans="1:9">
      <c r="A312" s="36"/>
      <c r="B312" s="37"/>
      <c r="C312" s="38"/>
      <c r="D312" s="29"/>
      <c r="E312" s="29"/>
      <c r="F312" s="28"/>
      <c r="G312" s="29" t="str">
        <f t="shared" ca="1" si="8"/>
        <v/>
      </c>
      <c r="H312" s="45" t="str">
        <f t="shared" ca="1" si="9"/>
        <v/>
      </c>
      <c r="I312" s="32"/>
    </row>
    <row r="313" spans="1:9">
      <c r="A313" s="36"/>
      <c r="B313" s="37"/>
      <c r="C313" s="38"/>
      <c r="D313" s="29"/>
      <c r="E313" s="29"/>
      <c r="F313" s="28"/>
      <c r="G313" s="29" t="str">
        <f t="shared" ca="1" si="8"/>
        <v/>
      </c>
      <c r="H313" s="45" t="str">
        <f t="shared" ca="1" si="9"/>
        <v/>
      </c>
      <c r="I313" s="32"/>
    </row>
    <row r="314" spans="1:9">
      <c r="A314" s="36"/>
      <c r="B314" s="37"/>
      <c r="C314" s="38"/>
      <c r="D314" s="29"/>
      <c r="E314" s="29"/>
      <c r="F314" s="28"/>
      <c r="G314" s="29" t="str">
        <f t="shared" ca="1" si="8"/>
        <v/>
      </c>
      <c r="H314" s="45" t="str">
        <f t="shared" ca="1" si="9"/>
        <v/>
      </c>
      <c r="I314" s="32"/>
    </row>
    <row r="315" spans="1:9">
      <c r="A315" s="36"/>
      <c r="B315" s="37"/>
      <c r="C315" s="38"/>
      <c r="D315" s="29"/>
      <c r="E315" s="29"/>
      <c r="F315" s="28"/>
      <c r="G315" s="29" t="str">
        <f t="shared" ca="1" si="8"/>
        <v/>
      </c>
      <c r="H315" s="45" t="str">
        <f t="shared" ca="1" si="9"/>
        <v/>
      </c>
      <c r="I315" s="32"/>
    </row>
    <row r="316" spans="1:9">
      <c r="A316" s="36"/>
      <c r="B316" s="37"/>
      <c r="C316" s="38"/>
      <c r="D316" s="29"/>
      <c r="E316" s="29"/>
      <c r="F316" s="28"/>
      <c r="G316" s="29" t="str">
        <f t="shared" ca="1" si="8"/>
        <v/>
      </c>
      <c r="H316" s="45" t="str">
        <f t="shared" ca="1" si="9"/>
        <v/>
      </c>
      <c r="I316" s="32"/>
    </row>
    <row r="317" spans="1:9">
      <c r="A317" s="36"/>
      <c r="B317" s="37"/>
      <c r="C317" s="38"/>
      <c r="D317" s="29"/>
      <c r="E317" s="29"/>
      <c r="F317" s="28"/>
      <c r="G317" s="29" t="str">
        <f t="shared" ca="1" si="8"/>
        <v/>
      </c>
      <c r="H317" s="45" t="str">
        <f t="shared" ca="1" si="9"/>
        <v/>
      </c>
      <c r="I317" s="32"/>
    </row>
    <row r="318" spans="1:9">
      <c r="A318" s="36"/>
      <c r="B318" s="37"/>
      <c r="C318" s="38"/>
      <c r="D318" s="29"/>
      <c r="E318" s="29"/>
      <c r="F318" s="28"/>
      <c r="G318" s="29" t="str">
        <f t="shared" ca="1" si="8"/>
        <v/>
      </c>
      <c r="H318" s="45" t="str">
        <f t="shared" ca="1" si="9"/>
        <v/>
      </c>
      <c r="I318" s="32"/>
    </row>
    <row r="319" spans="1:9">
      <c r="A319" s="36"/>
      <c r="B319" s="37"/>
      <c r="C319" s="38"/>
      <c r="D319" s="29"/>
      <c r="E319" s="29"/>
      <c r="F319" s="28"/>
      <c r="G319" s="29" t="str">
        <f t="shared" ca="1" si="8"/>
        <v/>
      </c>
      <c r="H319" s="45" t="str">
        <f t="shared" ca="1" si="9"/>
        <v/>
      </c>
      <c r="I319" s="32"/>
    </row>
    <row r="320" spans="1:9">
      <c r="A320" s="36"/>
      <c r="B320" s="37"/>
      <c r="C320" s="38"/>
      <c r="D320" s="29"/>
      <c r="E320" s="29"/>
      <c r="F320" s="28"/>
      <c r="G320" s="29" t="str">
        <f t="shared" ca="1" si="8"/>
        <v/>
      </c>
      <c r="H320" s="45" t="str">
        <f t="shared" ca="1" si="9"/>
        <v/>
      </c>
      <c r="I320" s="32"/>
    </row>
    <row r="321" spans="1:9">
      <c r="A321" s="36"/>
      <c r="B321" s="37"/>
      <c r="C321" s="38"/>
      <c r="D321" s="29"/>
      <c r="E321" s="29"/>
      <c r="F321" s="28"/>
      <c r="G321" s="29" t="str">
        <f t="shared" ca="1" si="8"/>
        <v/>
      </c>
      <c r="H321" s="45" t="str">
        <f t="shared" ca="1" si="9"/>
        <v/>
      </c>
      <c r="I321" s="32"/>
    </row>
    <row r="322" spans="1:9">
      <c r="A322" s="36"/>
      <c r="B322" s="37"/>
      <c r="C322" s="38"/>
      <c r="D322" s="29"/>
      <c r="E322" s="29"/>
      <c r="F322" s="28"/>
      <c r="G322" s="29" t="str">
        <f t="shared" ref="G322:G385" ca="1" si="10">IF(A322="","",IF(F322="","Sin vencimiento",IF(F322&lt;TODAY(),"Vencida",IF(F322&lt;=TODAY()+30,"Por vencer","Vigente"))))</f>
        <v/>
      </c>
      <c r="H322" s="45" t="str">
        <f t="shared" ref="H322:H385" ca="1" si="11">IF(A322="","",IF(F322="","",F322-TODAY()))</f>
        <v/>
      </c>
      <c r="I322" s="32"/>
    </row>
    <row r="323" spans="1:9">
      <c r="A323" s="36"/>
      <c r="B323" s="37"/>
      <c r="C323" s="38"/>
      <c r="D323" s="29"/>
      <c r="E323" s="29"/>
      <c r="F323" s="28"/>
      <c r="G323" s="29" t="str">
        <f t="shared" ca="1" si="10"/>
        <v/>
      </c>
      <c r="H323" s="45" t="str">
        <f t="shared" ca="1" si="11"/>
        <v/>
      </c>
      <c r="I323" s="32"/>
    </row>
    <row r="324" spans="1:9">
      <c r="A324" s="36"/>
      <c r="B324" s="37"/>
      <c r="C324" s="38"/>
      <c r="D324" s="29"/>
      <c r="E324" s="29"/>
      <c r="F324" s="28"/>
      <c r="G324" s="29" t="str">
        <f t="shared" ca="1" si="10"/>
        <v/>
      </c>
      <c r="H324" s="45" t="str">
        <f t="shared" ca="1" si="11"/>
        <v/>
      </c>
      <c r="I324" s="32"/>
    </row>
    <row r="325" spans="1:9">
      <c r="A325" s="36"/>
      <c r="B325" s="37"/>
      <c r="C325" s="38"/>
      <c r="D325" s="29"/>
      <c r="E325" s="29"/>
      <c r="F325" s="28"/>
      <c r="G325" s="29" t="str">
        <f t="shared" ca="1" si="10"/>
        <v/>
      </c>
      <c r="H325" s="45" t="str">
        <f t="shared" ca="1" si="11"/>
        <v/>
      </c>
      <c r="I325" s="32"/>
    </row>
    <row r="326" spans="1:9">
      <c r="A326" s="36"/>
      <c r="B326" s="37"/>
      <c r="C326" s="38"/>
      <c r="D326" s="29"/>
      <c r="E326" s="29"/>
      <c r="F326" s="28"/>
      <c r="G326" s="29" t="str">
        <f t="shared" ca="1" si="10"/>
        <v/>
      </c>
      <c r="H326" s="45" t="str">
        <f t="shared" ca="1" si="11"/>
        <v/>
      </c>
      <c r="I326" s="32"/>
    </row>
    <row r="327" spans="1:9">
      <c r="A327" s="36"/>
      <c r="B327" s="37"/>
      <c r="C327" s="38"/>
      <c r="D327" s="29"/>
      <c r="E327" s="29"/>
      <c r="F327" s="28"/>
      <c r="G327" s="29" t="str">
        <f t="shared" ca="1" si="10"/>
        <v/>
      </c>
      <c r="H327" s="45" t="str">
        <f t="shared" ca="1" si="11"/>
        <v/>
      </c>
      <c r="I327" s="32"/>
    </row>
    <row r="328" spans="1:9">
      <c r="A328" s="36"/>
      <c r="B328" s="37"/>
      <c r="C328" s="38"/>
      <c r="D328" s="29"/>
      <c r="E328" s="29"/>
      <c r="F328" s="28"/>
      <c r="G328" s="29" t="str">
        <f t="shared" ca="1" si="10"/>
        <v/>
      </c>
      <c r="H328" s="45" t="str">
        <f t="shared" ca="1" si="11"/>
        <v/>
      </c>
      <c r="I328" s="32"/>
    </row>
    <row r="329" spans="1:9">
      <c r="A329" s="36"/>
      <c r="B329" s="37"/>
      <c r="C329" s="38"/>
      <c r="D329" s="29"/>
      <c r="E329" s="29"/>
      <c r="F329" s="28"/>
      <c r="G329" s="29" t="str">
        <f t="shared" ca="1" si="10"/>
        <v/>
      </c>
      <c r="H329" s="45" t="str">
        <f t="shared" ca="1" si="11"/>
        <v/>
      </c>
      <c r="I329" s="32"/>
    </row>
    <row r="330" spans="1:9">
      <c r="A330" s="36"/>
      <c r="B330" s="37"/>
      <c r="C330" s="38"/>
      <c r="D330" s="29"/>
      <c r="E330" s="29"/>
      <c r="F330" s="28"/>
      <c r="G330" s="29" t="str">
        <f t="shared" ca="1" si="10"/>
        <v/>
      </c>
      <c r="H330" s="45" t="str">
        <f t="shared" ca="1" si="11"/>
        <v/>
      </c>
      <c r="I330" s="32"/>
    </row>
    <row r="331" spans="1:9">
      <c r="A331" s="36"/>
      <c r="B331" s="37"/>
      <c r="C331" s="38"/>
      <c r="D331" s="29"/>
      <c r="E331" s="29"/>
      <c r="F331" s="28"/>
      <c r="G331" s="29" t="str">
        <f t="shared" ca="1" si="10"/>
        <v/>
      </c>
      <c r="H331" s="45" t="str">
        <f t="shared" ca="1" si="11"/>
        <v/>
      </c>
      <c r="I331" s="32"/>
    </row>
    <row r="332" spans="1:9">
      <c r="A332" s="36"/>
      <c r="B332" s="37"/>
      <c r="C332" s="38"/>
      <c r="D332" s="29"/>
      <c r="E332" s="29"/>
      <c r="F332" s="28"/>
      <c r="G332" s="29" t="str">
        <f t="shared" ca="1" si="10"/>
        <v/>
      </c>
      <c r="H332" s="45" t="str">
        <f t="shared" ca="1" si="11"/>
        <v/>
      </c>
      <c r="I332" s="32"/>
    </row>
    <row r="333" spans="1:9">
      <c r="A333" s="36"/>
      <c r="B333" s="37"/>
      <c r="C333" s="38"/>
      <c r="D333" s="29"/>
      <c r="E333" s="29"/>
      <c r="F333" s="28"/>
      <c r="G333" s="29" t="str">
        <f t="shared" ca="1" si="10"/>
        <v/>
      </c>
      <c r="H333" s="45" t="str">
        <f t="shared" ca="1" si="11"/>
        <v/>
      </c>
      <c r="I333" s="32"/>
    </row>
    <row r="334" spans="1:9">
      <c r="A334" s="36"/>
      <c r="B334" s="37"/>
      <c r="C334" s="38"/>
      <c r="D334" s="29"/>
      <c r="E334" s="29"/>
      <c r="F334" s="28"/>
      <c r="G334" s="29" t="str">
        <f t="shared" ca="1" si="10"/>
        <v/>
      </c>
      <c r="H334" s="45" t="str">
        <f t="shared" ca="1" si="11"/>
        <v/>
      </c>
      <c r="I334" s="32"/>
    </row>
    <row r="335" spans="1:9">
      <c r="A335" s="36"/>
      <c r="B335" s="37"/>
      <c r="C335" s="38"/>
      <c r="D335" s="29"/>
      <c r="E335" s="29"/>
      <c r="F335" s="28"/>
      <c r="G335" s="29" t="str">
        <f t="shared" ca="1" si="10"/>
        <v/>
      </c>
      <c r="H335" s="45" t="str">
        <f t="shared" ca="1" si="11"/>
        <v/>
      </c>
      <c r="I335" s="32"/>
    </row>
    <row r="336" spans="1:9">
      <c r="A336" s="36"/>
      <c r="B336" s="37"/>
      <c r="C336" s="38"/>
      <c r="D336" s="29"/>
      <c r="E336" s="29"/>
      <c r="F336" s="28"/>
      <c r="G336" s="29" t="str">
        <f t="shared" ca="1" si="10"/>
        <v/>
      </c>
      <c r="H336" s="45" t="str">
        <f t="shared" ca="1" si="11"/>
        <v/>
      </c>
      <c r="I336" s="32"/>
    </row>
    <row r="337" spans="1:9">
      <c r="A337" s="36"/>
      <c r="B337" s="37"/>
      <c r="C337" s="38"/>
      <c r="D337" s="29"/>
      <c r="E337" s="29"/>
      <c r="F337" s="28"/>
      <c r="G337" s="29" t="str">
        <f t="shared" ca="1" si="10"/>
        <v/>
      </c>
      <c r="H337" s="45" t="str">
        <f t="shared" ca="1" si="11"/>
        <v/>
      </c>
      <c r="I337" s="32"/>
    </row>
    <row r="338" spans="1:9">
      <c r="A338" s="36"/>
      <c r="B338" s="37"/>
      <c r="C338" s="38"/>
      <c r="D338" s="29"/>
      <c r="E338" s="29"/>
      <c r="F338" s="28"/>
      <c r="G338" s="29" t="str">
        <f t="shared" ca="1" si="10"/>
        <v/>
      </c>
      <c r="H338" s="45" t="str">
        <f t="shared" ca="1" si="11"/>
        <v/>
      </c>
      <c r="I338" s="32"/>
    </row>
    <row r="339" spans="1:9">
      <c r="A339" s="36"/>
      <c r="B339" s="37"/>
      <c r="C339" s="38"/>
      <c r="D339" s="29"/>
      <c r="E339" s="29"/>
      <c r="F339" s="28"/>
      <c r="G339" s="29" t="str">
        <f t="shared" ca="1" si="10"/>
        <v/>
      </c>
      <c r="H339" s="45" t="str">
        <f t="shared" ca="1" si="11"/>
        <v/>
      </c>
      <c r="I339" s="32"/>
    </row>
    <row r="340" spans="1:9">
      <c r="A340" s="36"/>
      <c r="B340" s="37"/>
      <c r="C340" s="38"/>
      <c r="D340" s="29"/>
      <c r="E340" s="29"/>
      <c r="F340" s="28"/>
      <c r="G340" s="29" t="str">
        <f t="shared" ca="1" si="10"/>
        <v/>
      </c>
      <c r="H340" s="45" t="str">
        <f t="shared" ca="1" si="11"/>
        <v/>
      </c>
      <c r="I340" s="32"/>
    </row>
    <row r="341" spans="1:9">
      <c r="A341" s="36"/>
      <c r="B341" s="37"/>
      <c r="C341" s="38"/>
      <c r="D341" s="29"/>
      <c r="E341" s="29"/>
      <c r="F341" s="28"/>
      <c r="G341" s="29" t="str">
        <f t="shared" ca="1" si="10"/>
        <v/>
      </c>
      <c r="H341" s="45" t="str">
        <f t="shared" ca="1" si="11"/>
        <v/>
      </c>
      <c r="I341" s="32"/>
    </row>
    <row r="342" spans="1:9">
      <c r="A342" s="36"/>
      <c r="B342" s="37"/>
      <c r="C342" s="38"/>
      <c r="D342" s="29"/>
      <c r="E342" s="29"/>
      <c r="F342" s="28"/>
      <c r="G342" s="29" t="str">
        <f t="shared" ca="1" si="10"/>
        <v/>
      </c>
      <c r="H342" s="45" t="str">
        <f t="shared" ca="1" si="11"/>
        <v/>
      </c>
      <c r="I342" s="32"/>
    </row>
    <row r="343" spans="1:9">
      <c r="A343" s="36"/>
      <c r="B343" s="37"/>
      <c r="C343" s="38"/>
      <c r="D343" s="29"/>
      <c r="E343" s="29"/>
      <c r="F343" s="28"/>
      <c r="G343" s="29" t="str">
        <f t="shared" ca="1" si="10"/>
        <v/>
      </c>
      <c r="H343" s="45" t="str">
        <f t="shared" ca="1" si="11"/>
        <v/>
      </c>
      <c r="I343" s="32"/>
    </row>
    <row r="344" spans="1:9">
      <c r="A344" s="36"/>
      <c r="B344" s="37"/>
      <c r="C344" s="38"/>
      <c r="D344" s="29"/>
      <c r="E344" s="29"/>
      <c r="F344" s="28"/>
      <c r="G344" s="29" t="str">
        <f t="shared" ca="1" si="10"/>
        <v/>
      </c>
      <c r="H344" s="45" t="str">
        <f t="shared" ca="1" si="11"/>
        <v/>
      </c>
      <c r="I344" s="32"/>
    </row>
    <row r="345" spans="1:9">
      <c r="A345" s="36"/>
      <c r="B345" s="37"/>
      <c r="C345" s="38"/>
      <c r="D345" s="29"/>
      <c r="E345" s="29"/>
      <c r="F345" s="28"/>
      <c r="G345" s="29" t="str">
        <f t="shared" ca="1" si="10"/>
        <v/>
      </c>
      <c r="H345" s="45" t="str">
        <f t="shared" ca="1" si="11"/>
        <v/>
      </c>
      <c r="I345" s="32"/>
    </row>
    <row r="346" spans="1:9">
      <c r="A346" s="36"/>
      <c r="B346" s="37"/>
      <c r="C346" s="38"/>
      <c r="D346" s="29"/>
      <c r="E346" s="29"/>
      <c r="F346" s="28"/>
      <c r="G346" s="29" t="str">
        <f t="shared" ca="1" si="10"/>
        <v/>
      </c>
      <c r="H346" s="45" t="str">
        <f t="shared" ca="1" si="11"/>
        <v/>
      </c>
      <c r="I346" s="32"/>
    </row>
    <row r="347" spans="1:9">
      <c r="A347" s="36"/>
      <c r="B347" s="37"/>
      <c r="C347" s="38"/>
      <c r="D347" s="29"/>
      <c r="E347" s="29"/>
      <c r="F347" s="28"/>
      <c r="G347" s="29" t="str">
        <f t="shared" ca="1" si="10"/>
        <v/>
      </c>
      <c r="H347" s="45" t="str">
        <f t="shared" ca="1" si="11"/>
        <v/>
      </c>
      <c r="I347" s="32"/>
    </row>
    <row r="348" spans="1:9">
      <c r="A348" s="36"/>
      <c r="B348" s="37"/>
      <c r="C348" s="38"/>
      <c r="D348" s="29"/>
      <c r="E348" s="29"/>
      <c r="F348" s="28"/>
      <c r="G348" s="29" t="str">
        <f t="shared" ca="1" si="10"/>
        <v/>
      </c>
      <c r="H348" s="45" t="str">
        <f t="shared" ca="1" si="11"/>
        <v/>
      </c>
      <c r="I348" s="32"/>
    </row>
    <row r="349" spans="1:9">
      <c r="A349" s="36"/>
      <c r="B349" s="37"/>
      <c r="C349" s="38"/>
      <c r="D349" s="29"/>
      <c r="E349" s="29"/>
      <c r="F349" s="28"/>
      <c r="G349" s="29" t="str">
        <f t="shared" ca="1" si="10"/>
        <v/>
      </c>
      <c r="H349" s="45" t="str">
        <f t="shared" ca="1" si="11"/>
        <v/>
      </c>
      <c r="I349" s="32"/>
    </row>
    <row r="350" spans="1:9">
      <c r="A350" s="36"/>
      <c r="B350" s="37"/>
      <c r="C350" s="38"/>
      <c r="D350" s="29"/>
      <c r="E350" s="29"/>
      <c r="F350" s="28"/>
      <c r="G350" s="29" t="str">
        <f t="shared" ca="1" si="10"/>
        <v/>
      </c>
      <c r="H350" s="45" t="str">
        <f t="shared" ca="1" si="11"/>
        <v/>
      </c>
      <c r="I350" s="32"/>
    </row>
    <row r="351" spans="1:9">
      <c r="A351" s="36"/>
      <c r="B351" s="37"/>
      <c r="C351" s="38"/>
      <c r="D351" s="29"/>
      <c r="E351" s="29"/>
      <c r="F351" s="28"/>
      <c r="G351" s="29" t="str">
        <f t="shared" ca="1" si="10"/>
        <v/>
      </c>
      <c r="H351" s="45" t="str">
        <f t="shared" ca="1" si="11"/>
        <v/>
      </c>
      <c r="I351" s="32"/>
    </row>
    <row r="352" spans="1:9">
      <c r="A352" s="36"/>
      <c r="B352" s="37"/>
      <c r="C352" s="38"/>
      <c r="D352" s="29"/>
      <c r="E352" s="29"/>
      <c r="F352" s="28"/>
      <c r="G352" s="29" t="str">
        <f t="shared" ca="1" si="10"/>
        <v/>
      </c>
      <c r="H352" s="45" t="str">
        <f t="shared" ca="1" si="11"/>
        <v/>
      </c>
      <c r="I352" s="32"/>
    </row>
    <row r="353" spans="1:9">
      <c r="A353" s="36"/>
      <c r="B353" s="37"/>
      <c r="C353" s="38"/>
      <c r="D353" s="29"/>
      <c r="E353" s="29"/>
      <c r="F353" s="28"/>
      <c r="G353" s="29" t="str">
        <f t="shared" ca="1" si="10"/>
        <v/>
      </c>
      <c r="H353" s="45" t="str">
        <f t="shared" ca="1" si="11"/>
        <v/>
      </c>
      <c r="I353" s="32"/>
    </row>
    <row r="354" spans="1:9">
      <c r="A354" s="36"/>
      <c r="B354" s="37"/>
      <c r="C354" s="38"/>
      <c r="D354" s="29"/>
      <c r="E354" s="29"/>
      <c r="F354" s="28"/>
      <c r="G354" s="29" t="str">
        <f t="shared" ca="1" si="10"/>
        <v/>
      </c>
      <c r="H354" s="45" t="str">
        <f t="shared" ca="1" si="11"/>
        <v/>
      </c>
      <c r="I354" s="32"/>
    </row>
    <row r="355" spans="1:9">
      <c r="A355" s="36"/>
      <c r="B355" s="37"/>
      <c r="C355" s="38"/>
      <c r="D355" s="29"/>
      <c r="E355" s="29"/>
      <c r="F355" s="28"/>
      <c r="G355" s="29" t="str">
        <f t="shared" ca="1" si="10"/>
        <v/>
      </c>
      <c r="H355" s="45" t="str">
        <f t="shared" ca="1" si="11"/>
        <v/>
      </c>
      <c r="I355" s="32"/>
    </row>
    <row r="356" spans="1:9">
      <c r="A356" s="36"/>
      <c r="B356" s="37"/>
      <c r="C356" s="38"/>
      <c r="D356" s="29"/>
      <c r="E356" s="29"/>
      <c r="F356" s="28"/>
      <c r="G356" s="29" t="str">
        <f t="shared" ca="1" si="10"/>
        <v/>
      </c>
      <c r="H356" s="45" t="str">
        <f t="shared" ca="1" si="11"/>
        <v/>
      </c>
      <c r="I356" s="32"/>
    </row>
    <row r="357" spans="1:9">
      <c r="A357" s="39"/>
      <c r="B357" s="32"/>
      <c r="C357" s="32"/>
      <c r="D357" s="29"/>
      <c r="E357" s="29"/>
      <c r="F357" s="28"/>
      <c r="G357" s="29" t="str">
        <f t="shared" ca="1" si="10"/>
        <v/>
      </c>
      <c r="H357" s="45" t="str">
        <f t="shared" ca="1" si="11"/>
        <v/>
      </c>
      <c r="I357" s="32"/>
    </row>
    <row r="358" spans="1:9">
      <c r="A358" s="39"/>
      <c r="B358" s="32"/>
      <c r="C358" s="32"/>
      <c r="D358" s="29"/>
      <c r="E358" s="29"/>
      <c r="F358" s="28"/>
      <c r="G358" s="29" t="str">
        <f t="shared" ca="1" si="10"/>
        <v/>
      </c>
      <c r="H358" s="45" t="str">
        <f t="shared" ca="1" si="11"/>
        <v/>
      </c>
      <c r="I358" s="32"/>
    </row>
    <row r="359" spans="1:9">
      <c r="A359" s="39"/>
      <c r="B359" s="32"/>
      <c r="C359" s="32"/>
      <c r="D359" s="29"/>
      <c r="E359" s="29"/>
      <c r="F359" s="28"/>
      <c r="G359" s="29" t="str">
        <f t="shared" ca="1" si="10"/>
        <v/>
      </c>
      <c r="H359" s="45" t="str">
        <f t="shared" ca="1" si="11"/>
        <v/>
      </c>
      <c r="I359" s="32"/>
    </row>
    <row r="360" spans="1:9">
      <c r="A360" s="39"/>
      <c r="B360" s="32"/>
      <c r="C360" s="32"/>
      <c r="D360" s="29"/>
      <c r="E360" s="29"/>
      <c r="F360" s="28"/>
      <c r="G360" s="29" t="str">
        <f t="shared" ca="1" si="10"/>
        <v/>
      </c>
      <c r="H360" s="45" t="str">
        <f t="shared" ca="1" si="11"/>
        <v/>
      </c>
      <c r="I360" s="32"/>
    </row>
    <row r="361" spans="1:9">
      <c r="A361" s="39"/>
      <c r="B361" s="32"/>
      <c r="C361" s="32"/>
      <c r="D361" s="29"/>
      <c r="E361" s="29"/>
      <c r="F361" s="28"/>
      <c r="G361" s="29" t="str">
        <f t="shared" ca="1" si="10"/>
        <v/>
      </c>
      <c r="H361" s="45" t="str">
        <f t="shared" ca="1" si="11"/>
        <v/>
      </c>
      <c r="I361" s="32"/>
    </row>
    <row r="362" spans="1:9">
      <c r="A362" s="39"/>
      <c r="B362" s="32"/>
      <c r="C362" s="32"/>
      <c r="D362" s="29"/>
      <c r="E362" s="29"/>
      <c r="F362" s="28"/>
      <c r="G362" s="29" t="str">
        <f t="shared" ca="1" si="10"/>
        <v/>
      </c>
      <c r="H362" s="45" t="str">
        <f t="shared" ca="1" si="11"/>
        <v/>
      </c>
      <c r="I362" s="32"/>
    </row>
    <row r="363" spans="1:9">
      <c r="A363" s="39"/>
      <c r="B363" s="32"/>
      <c r="C363" s="32"/>
      <c r="D363" s="29"/>
      <c r="E363" s="29"/>
      <c r="F363" s="28"/>
      <c r="G363" s="29" t="str">
        <f t="shared" ca="1" si="10"/>
        <v/>
      </c>
      <c r="H363" s="45" t="str">
        <f t="shared" ca="1" si="11"/>
        <v/>
      </c>
      <c r="I363" s="32"/>
    </row>
    <row r="364" spans="1:9">
      <c r="A364" s="39"/>
      <c r="B364" s="32"/>
      <c r="C364" s="32"/>
      <c r="D364" s="29"/>
      <c r="E364" s="29"/>
      <c r="F364" s="28"/>
      <c r="G364" s="29" t="str">
        <f t="shared" ca="1" si="10"/>
        <v/>
      </c>
      <c r="H364" s="45" t="str">
        <f t="shared" ca="1" si="11"/>
        <v/>
      </c>
      <c r="I364" s="32"/>
    </row>
    <row r="365" spans="1:9">
      <c r="A365" s="39"/>
      <c r="B365" s="32"/>
      <c r="C365" s="32"/>
      <c r="D365" s="29"/>
      <c r="E365" s="29"/>
      <c r="F365" s="28"/>
      <c r="G365" s="32" t="str">
        <f t="shared" ca="1" si="10"/>
        <v/>
      </c>
      <c r="H365" s="45" t="str">
        <f t="shared" ca="1" si="11"/>
        <v/>
      </c>
      <c r="I365" s="32"/>
    </row>
    <row r="366" spans="1:9">
      <c r="A366" s="39"/>
      <c r="B366" s="32"/>
      <c r="C366" s="32"/>
      <c r="D366" s="32"/>
      <c r="E366" s="32"/>
      <c r="F366" s="43"/>
      <c r="G366" s="32" t="str">
        <f t="shared" ca="1" si="10"/>
        <v/>
      </c>
      <c r="H366" s="45" t="str">
        <f t="shared" ca="1" si="11"/>
        <v/>
      </c>
      <c r="I366" s="32"/>
    </row>
    <row r="367" spans="1:9">
      <c r="A367" s="39"/>
      <c r="B367" s="32"/>
      <c r="C367" s="32"/>
      <c r="D367" s="32"/>
      <c r="E367" s="32"/>
      <c r="F367" s="43"/>
      <c r="G367" s="32" t="str">
        <f t="shared" ca="1" si="10"/>
        <v/>
      </c>
      <c r="H367" s="45" t="str">
        <f t="shared" ca="1" si="11"/>
        <v/>
      </c>
      <c r="I367" s="32"/>
    </row>
    <row r="368" spans="1:9">
      <c r="A368" s="39"/>
      <c r="B368" s="32"/>
      <c r="C368" s="32"/>
      <c r="D368" s="32"/>
      <c r="E368" s="32"/>
      <c r="F368" s="43"/>
      <c r="G368" s="32" t="str">
        <f t="shared" ca="1" si="10"/>
        <v/>
      </c>
      <c r="H368" s="45" t="str">
        <f t="shared" ca="1" si="11"/>
        <v/>
      </c>
      <c r="I368" s="32"/>
    </row>
    <row r="369" spans="1:9">
      <c r="A369" s="39"/>
      <c r="B369" s="32"/>
      <c r="C369" s="32"/>
      <c r="D369" s="32"/>
      <c r="E369" s="32"/>
      <c r="F369" s="43"/>
      <c r="G369" s="32" t="str">
        <f t="shared" ca="1" si="10"/>
        <v/>
      </c>
      <c r="H369" s="45" t="str">
        <f t="shared" ca="1" si="11"/>
        <v/>
      </c>
      <c r="I369" s="32"/>
    </row>
    <row r="370" spans="1:9">
      <c r="A370" s="39"/>
      <c r="B370" s="32"/>
      <c r="C370" s="32"/>
      <c r="D370" s="32"/>
      <c r="E370" s="32"/>
      <c r="F370" s="43"/>
      <c r="G370" s="32" t="str">
        <f t="shared" ca="1" si="10"/>
        <v/>
      </c>
      <c r="H370" s="45" t="str">
        <f t="shared" ca="1" si="11"/>
        <v/>
      </c>
      <c r="I370" s="32"/>
    </row>
    <row r="371" spans="1:9">
      <c r="A371" s="39"/>
      <c r="B371" s="32"/>
      <c r="C371" s="32"/>
      <c r="D371" s="32"/>
      <c r="E371" s="32"/>
      <c r="F371" s="43"/>
      <c r="G371" s="32" t="str">
        <f t="shared" ca="1" si="10"/>
        <v/>
      </c>
      <c r="H371" s="45" t="str">
        <f t="shared" ca="1" si="11"/>
        <v/>
      </c>
      <c r="I371" s="32"/>
    </row>
    <row r="372" spans="1:9">
      <c r="A372" s="39"/>
      <c r="B372" s="32"/>
      <c r="C372" s="32"/>
      <c r="D372" s="32"/>
      <c r="E372" s="32"/>
      <c r="F372" s="43"/>
      <c r="G372" s="32" t="str">
        <f t="shared" ca="1" si="10"/>
        <v/>
      </c>
      <c r="H372" s="45" t="str">
        <f t="shared" ca="1" si="11"/>
        <v/>
      </c>
      <c r="I372" s="32"/>
    </row>
    <row r="373" spans="1:9">
      <c r="A373" s="39"/>
      <c r="B373" s="32"/>
      <c r="C373" s="32"/>
      <c r="D373" s="32"/>
      <c r="E373" s="32"/>
      <c r="F373" s="43"/>
      <c r="G373" s="32" t="str">
        <f t="shared" ca="1" si="10"/>
        <v/>
      </c>
      <c r="H373" s="45" t="str">
        <f t="shared" ca="1" si="11"/>
        <v/>
      </c>
      <c r="I373" s="32"/>
    </row>
    <row r="374" spans="1:9">
      <c r="A374" s="39"/>
      <c r="B374" s="32"/>
      <c r="C374" s="32"/>
      <c r="D374" s="32"/>
      <c r="E374" s="32"/>
      <c r="F374" s="43"/>
      <c r="G374" s="32" t="str">
        <f t="shared" ca="1" si="10"/>
        <v/>
      </c>
      <c r="H374" s="45" t="str">
        <f t="shared" ca="1" si="11"/>
        <v/>
      </c>
      <c r="I374" s="32"/>
    </row>
    <row r="375" spans="1:9">
      <c r="A375" s="39"/>
      <c r="B375" s="32"/>
      <c r="C375" s="32"/>
      <c r="D375" s="32"/>
      <c r="E375" s="32"/>
      <c r="F375" s="43"/>
      <c r="G375" s="32" t="str">
        <f t="shared" ca="1" si="10"/>
        <v/>
      </c>
      <c r="H375" s="45" t="str">
        <f t="shared" ca="1" si="11"/>
        <v/>
      </c>
      <c r="I375" s="32"/>
    </row>
    <row r="376" spans="1:9">
      <c r="A376" s="39"/>
      <c r="B376" s="32"/>
      <c r="C376" s="32"/>
      <c r="D376" s="32"/>
      <c r="E376" s="32"/>
      <c r="F376" s="43"/>
      <c r="G376" s="32" t="str">
        <f t="shared" ca="1" si="10"/>
        <v/>
      </c>
      <c r="H376" s="45" t="str">
        <f t="shared" ca="1" si="11"/>
        <v/>
      </c>
      <c r="I376" s="32"/>
    </row>
    <row r="377" spans="1:9">
      <c r="A377" s="39"/>
      <c r="B377" s="32"/>
      <c r="C377" s="32"/>
      <c r="D377" s="32"/>
      <c r="E377" s="32"/>
      <c r="F377" s="43"/>
      <c r="G377" s="32" t="str">
        <f t="shared" ca="1" si="10"/>
        <v/>
      </c>
      <c r="H377" s="45" t="str">
        <f t="shared" ca="1" si="11"/>
        <v/>
      </c>
      <c r="I377" s="32"/>
    </row>
    <row r="378" spans="1:9">
      <c r="A378" s="39"/>
      <c r="B378" s="32"/>
      <c r="C378" s="32"/>
      <c r="D378" s="32"/>
      <c r="E378" s="32"/>
      <c r="F378" s="43"/>
      <c r="G378" s="32" t="str">
        <f t="shared" ca="1" si="10"/>
        <v/>
      </c>
      <c r="H378" s="45" t="str">
        <f t="shared" ca="1" si="11"/>
        <v/>
      </c>
      <c r="I378" s="32"/>
    </row>
    <row r="379" spans="1:9">
      <c r="A379" s="39"/>
      <c r="B379" s="32"/>
      <c r="C379" s="32"/>
      <c r="D379" s="32"/>
      <c r="E379" s="32"/>
      <c r="F379" s="43"/>
      <c r="G379" s="32" t="str">
        <f t="shared" ca="1" si="10"/>
        <v/>
      </c>
      <c r="H379" s="45" t="str">
        <f t="shared" ca="1" si="11"/>
        <v/>
      </c>
      <c r="I379" s="32"/>
    </row>
    <row r="380" spans="1:9">
      <c r="A380" s="39"/>
      <c r="B380" s="32"/>
      <c r="C380" s="32"/>
      <c r="D380" s="32"/>
      <c r="E380" s="32"/>
      <c r="F380" s="43"/>
      <c r="G380" s="32" t="str">
        <f t="shared" ca="1" si="10"/>
        <v/>
      </c>
      <c r="H380" s="45" t="str">
        <f t="shared" ca="1" si="11"/>
        <v/>
      </c>
      <c r="I380" s="32"/>
    </row>
    <row r="381" spans="1:9">
      <c r="A381" s="39"/>
      <c r="B381" s="32"/>
      <c r="C381" s="32"/>
      <c r="D381" s="32"/>
      <c r="E381" s="32"/>
      <c r="F381" s="43"/>
      <c r="G381" s="32" t="str">
        <f t="shared" ca="1" si="10"/>
        <v/>
      </c>
      <c r="H381" s="45" t="str">
        <f t="shared" ca="1" si="11"/>
        <v/>
      </c>
      <c r="I381" s="32"/>
    </row>
    <row r="382" spans="1:9">
      <c r="A382" s="39"/>
      <c r="B382" s="32"/>
      <c r="C382" s="32"/>
      <c r="D382" s="32"/>
      <c r="E382" s="32"/>
      <c r="F382" s="43"/>
      <c r="G382" s="32" t="str">
        <f t="shared" ca="1" si="10"/>
        <v/>
      </c>
      <c r="H382" s="45" t="str">
        <f t="shared" ca="1" si="11"/>
        <v/>
      </c>
      <c r="I382" s="32"/>
    </row>
    <row r="383" spans="1:9">
      <c r="A383" s="39"/>
      <c r="B383" s="32"/>
      <c r="C383" s="32"/>
      <c r="D383" s="32"/>
      <c r="E383" s="32"/>
      <c r="F383" s="43"/>
      <c r="G383" s="32" t="str">
        <f t="shared" ca="1" si="10"/>
        <v/>
      </c>
      <c r="H383" s="45" t="str">
        <f t="shared" ca="1" si="11"/>
        <v/>
      </c>
      <c r="I383" s="32"/>
    </row>
    <row r="384" spans="1:9">
      <c r="A384" s="39"/>
      <c r="B384" s="32"/>
      <c r="C384" s="32"/>
      <c r="D384" s="32"/>
      <c r="E384" s="32"/>
      <c r="F384" s="43"/>
      <c r="G384" s="32" t="str">
        <f t="shared" ca="1" si="10"/>
        <v/>
      </c>
      <c r="H384" s="45" t="str">
        <f t="shared" ca="1" si="11"/>
        <v/>
      </c>
      <c r="I384" s="32"/>
    </row>
    <row r="385" spans="1:9">
      <c r="A385" s="39"/>
      <c r="B385" s="32"/>
      <c r="C385" s="32"/>
      <c r="D385" s="32"/>
      <c r="E385" s="32"/>
      <c r="F385" s="43"/>
      <c r="G385" s="32" t="str">
        <f t="shared" ca="1" si="10"/>
        <v/>
      </c>
      <c r="H385" s="45" t="str">
        <f t="shared" ca="1" si="11"/>
        <v/>
      </c>
      <c r="I385" s="32"/>
    </row>
    <row r="386" spans="1:9">
      <c r="A386" s="39"/>
      <c r="B386" s="32"/>
      <c r="C386" s="32"/>
      <c r="D386" s="32"/>
      <c r="E386" s="32"/>
      <c r="F386" s="43"/>
      <c r="G386" s="32" t="str">
        <f t="shared" ref="G386:G449" ca="1" si="12">IF(A386="","",IF(F386="","Sin vencimiento",IF(F386&lt;TODAY(),"Vencida",IF(F386&lt;=TODAY()+30,"Por vencer","Vigente"))))</f>
        <v/>
      </c>
      <c r="H386" s="45" t="str">
        <f t="shared" ref="H386:H449" ca="1" si="13">IF(A386="","",IF(F386="","",F386-TODAY()))</f>
        <v/>
      </c>
      <c r="I386" s="32"/>
    </row>
    <row r="387" spans="1:9">
      <c r="A387" s="39"/>
      <c r="B387" s="32"/>
      <c r="C387" s="32"/>
      <c r="D387" s="32"/>
      <c r="E387" s="32"/>
      <c r="F387" s="43"/>
      <c r="G387" s="32" t="str">
        <f t="shared" ca="1" si="12"/>
        <v/>
      </c>
      <c r="H387" s="45" t="str">
        <f t="shared" ca="1" si="13"/>
        <v/>
      </c>
      <c r="I387" s="32"/>
    </row>
    <row r="388" spans="1:9">
      <c r="A388" s="39"/>
      <c r="B388" s="32"/>
      <c r="C388" s="32"/>
      <c r="D388" s="32"/>
      <c r="E388" s="32"/>
      <c r="F388" s="43"/>
      <c r="G388" s="32" t="str">
        <f t="shared" ca="1" si="12"/>
        <v/>
      </c>
      <c r="H388" s="45" t="str">
        <f t="shared" ca="1" si="13"/>
        <v/>
      </c>
      <c r="I388" s="32"/>
    </row>
    <row r="389" spans="1:9">
      <c r="A389" s="39"/>
      <c r="B389" s="32"/>
      <c r="C389" s="32"/>
      <c r="D389" s="32"/>
      <c r="E389" s="32"/>
      <c r="F389" s="43"/>
      <c r="G389" s="32" t="str">
        <f t="shared" ca="1" si="12"/>
        <v/>
      </c>
      <c r="H389" s="45" t="str">
        <f t="shared" ca="1" si="13"/>
        <v/>
      </c>
      <c r="I389" s="32"/>
    </row>
    <row r="390" spans="1:9">
      <c r="A390" s="39"/>
      <c r="B390" s="32"/>
      <c r="C390" s="32"/>
      <c r="D390" s="32"/>
      <c r="E390" s="32"/>
      <c r="F390" s="43"/>
      <c r="G390" s="32" t="str">
        <f t="shared" ca="1" si="12"/>
        <v/>
      </c>
      <c r="H390" s="45" t="str">
        <f t="shared" ca="1" si="13"/>
        <v/>
      </c>
      <c r="I390" s="32"/>
    </row>
    <row r="391" spans="1:9">
      <c r="A391" s="39"/>
      <c r="B391" s="32"/>
      <c r="C391" s="32"/>
      <c r="D391" s="32"/>
      <c r="E391" s="32"/>
      <c r="F391" s="43"/>
      <c r="G391" s="32" t="str">
        <f t="shared" ca="1" si="12"/>
        <v/>
      </c>
      <c r="H391" s="45" t="str">
        <f t="shared" ca="1" si="13"/>
        <v/>
      </c>
      <c r="I391" s="32"/>
    </row>
    <row r="392" spans="1:9">
      <c r="A392" s="39"/>
      <c r="B392" s="32"/>
      <c r="C392" s="32"/>
      <c r="D392" s="32"/>
      <c r="E392" s="32"/>
      <c r="F392" s="43"/>
      <c r="G392" s="32" t="str">
        <f t="shared" ca="1" si="12"/>
        <v/>
      </c>
      <c r="H392" s="45" t="str">
        <f t="shared" ca="1" si="13"/>
        <v/>
      </c>
      <c r="I392" s="32"/>
    </row>
    <row r="393" spans="1:9">
      <c r="A393" s="39"/>
      <c r="B393" s="32"/>
      <c r="C393" s="32"/>
      <c r="D393" s="32"/>
      <c r="E393" s="32"/>
      <c r="F393" s="43"/>
      <c r="G393" s="32" t="str">
        <f t="shared" ca="1" si="12"/>
        <v/>
      </c>
      <c r="H393" s="45" t="str">
        <f t="shared" ca="1" si="13"/>
        <v/>
      </c>
      <c r="I393" s="32"/>
    </row>
    <row r="394" spans="1:9">
      <c r="A394" s="39"/>
      <c r="B394" s="32"/>
      <c r="C394" s="32"/>
      <c r="D394" s="32"/>
      <c r="E394" s="32"/>
      <c r="F394" s="43"/>
      <c r="G394" s="32" t="str">
        <f t="shared" ca="1" si="12"/>
        <v/>
      </c>
      <c r="H394" s="45" t="str">
        <f t="shared" ca="1" si="13"/>
        <v/>
      </c>
      <c r="I394" s="32"/>
    </row>
    <row r="395" spans="1:9">
      <c r="A395" s="39"/>
      <c r="B395" s="32"/>
      <c r="C395" s="32"/>
      <c r="D395" s="32"/>
      <c r="E395" s="32"/>
      <c r="F395" s="43"/>
      <c r="G395" s="32" t="str">
        <f t="shared" ca="1" si="12"/>
        <v/>
      </c>
      <c r="H395" s="45" t="str">
        <f t="shared" ca="1" si="13"/>
        <v/>
      </c>
      <c r="I395" s="32"/>
    </row>
    <row r="396" spans="1:9">
      <c r="A396" s="39"/>
      <c r="B396" s="32"/>
      <c r="C396" s="32"/>
      <c r="D396" s="32"/>
      <c r="E396" s="32"/>
      <c r="F396" s="43"/>
      <c r="G396" s="32" t="str">
        <f t="shared" ca="1" si="12"/>
        <v/>
      </c>
      <c r="H396" s="45" t="str">
        <f t="shared" ca="1" si="13"/>
        <v/>
      </c>
      <c r="I396" s="32"/>
    </row>
    <row r="397" spans="1:9">
      <c r="A397" s="39"/>
      <c r="B397" s="32"/>
      <c r="C397" s="32"/>
      <c r="D397" s="32"/>
      <c r="E397" s="32"/>
      <c r="F397" s="43"/>
      <c r="G397" s="32" t="str">
        <f t="shared" ca="1" si="12"/>
        <v/>
      </c>
      <c r="H397" s="45" t="str">
        <f t="shared" ca="1" si="13"/>
        <v/>
      </c>
      <c r="I397" s="32"/>
    </row>
    <row r="398" spans="1:9">
      <c r="A398" s="39"/>
      <c r="B398" s="32"/>
      <c r="C398" s="32"/>
      <c r="D398" s="32"/>
      <c r="E398" s="32"/>
      <c r="F398" s="43"/>
      <c r="G398" s="32" t="str">
        <f t="shared" ca="1" si="12"/>
        <v/>
      </c>
      <c r="H398" s="45" t="str">
        <f t="shared" ca="1" si="13"/>
        <v/>
      </c>
      <c r="I398" s="32"/>
    </row>
    <row r="399" spans="1:9">
      <c r="A399" s="39"/>
      <c r="B399" s="32"/>
      <c r="C399" s="32"/>
      <c r="D399" s="32"/>
      <c r="E399" s="32"/>
      <c r="F399" s="43"/>
      <c r="G399" s="32" t="str">
        <f t="shared" ca="1" si="12"/>
        <v/>
      </c>
      <c r="H399" s="45" t="str">
        <f t="shared" ca="1" si="13"/>
        <v/>
      </c>
      <c r="I399" s="32"/>
    </row>
    <row r="400" spans="1:9">
      <c r="A400" s="39"/>
      <c r="B400" s="32"/>
      <c r="C400" s="32"/>
      <c r="D400" s="32"/>
      <c r="E400" s="32"/>
      <c r="F400" s="43"/>
      <c r="G400" s="32" t="str">
        <f t="shared" ca="1" si="12"/>
        <v/>
      </c>
      <c r="H400" s="45" t="str">
        <f t="shared" ca="1" si="13"/>
        <v/>
      </c>
      <c r="I400" s="32"/>
    </row>
    <row r="401" spans="1:9">
      <c r="A401" s="39"/>
      <c r="B401" s="32"/>
      <c r="C401" s="32"/>
      <c r="D401" s="32"/>
      <c r="E401" s="32"/>
      <c r="F401" s="43"/>
      <c r="G401" s="32" t="str">
        <f t="shared" ca="1" si="12"/>
        <v/>
      </c>
      <c r="H401" s="45" t="str">
        <f t="shared" ca="1" si="13"/>
        <v/>
      </c>
      <c r="I401" s="32"/>
    </row>
    <row r="402" spans="1:9">
      <c r="A402" s="39"/>
      <c r="B402" s="32"/>
      <c r="C402" s="32"/>
      <c r="D402" s="32"/>
      <c r="E402" s="32"/>
      <c r="F402" s="43"/>
      <c r="G402" s="32" t="str">
        <f t="shared" ca="1" si="12"/>
        <v/>
      </c>
      <c r="H402" s="45" t="str">
        <f t="shared" ca="1" si="13"/>
        <v/>
      </c>
      <c r="I402" s="32"/>
    </row>
    <row r="403" spans="1:9">
      <c r="A403" s="39"/>
      <c r="B403" s="32"/>
      <c r="C403" s="32"/>
      <c r="D403" s="32"/>
      <c r="E403" s="32"/>
      <c r="F403" s="43"/>
      <c r="G403" s="32" t="str">
        <f t="shared" ca="1" si="12"/>
        <v/>
      </c>
      <c r="H403" s="45" t="str">
        <f t="shared" ca="1" si="13"/>
        <v/>
      </c>
      <c r="I403" s="32"/>
    </row>
    <row r="404" spans="1:9">
      <c r="A404" s="39"/>
      <c r="B404" s="32"/>
      <c r="C404" s="32"/>
      <c r="D404" s="32"/>
      <c r="E404" s="32"/>
      <c r="F404" s="43"/>
      <c r="G404" s="32" t="str">
        <f t="shared" ca="1" si="12"/>
        <v/>
      </c>
      <c r="H404" s="45" t="str">
        <f t="shared" ca="1" si="13"/>
        <v/>
      </c>
      <c r="I404" s="32"/>
    </row>
    <row r="405" spans="1:9">
      <c r="A405" s="39"/>
      <c r="B405" s="32"/>
      <c r="C405" s="32"/>
      <c r="D405" s="32"/>
      <c r="E405" s="32"/>
      <c r="F405" s="43"/>
      <c r="G405" s="32" t="str">
        <f t="shared" ca="1" si="12"/>
        <v/>
      </c>
      <c r="H405" s="45" t="str">
        <f t="shared" ca="1" si="13"/>
        <v/>
      </c>
      <c r="I405" s="32"/>
    </row>
    <row r="406" spans="1:9">
      <c r="A406" s="39"/>
      <c r="B406" s="32"/>
      <c r="C406" s="32"/>
      <c r="D406" s="32"/>
      <c r="E406" s="32"/>
      <c r="F406" s="43"/>
      <c r="G406" s="32" t="str">
        <f t="shared" ca="1" si="12"/>
        <v/>
      </c>
      <c r="H406" s="45" t="str">
        <f t="shared" ca="1" si="13"/>
        <v/>
      </c>
      <c r="I406" s="32"/>
    </row>
    <row r="407" spans="1:9">
      <c r="A407" s="39"/>
      <c r="B407" s="32"/>
      <c r="C407" s="32"/>
      <c r="D407" s="32"/>
      <c r="E407" s="32"/>
      <c r="F407" s="43"/>
      <c r="G407" s="32" t="str">
        <f t="shared" ca="1" si="12"/>
        <v/>
      </c>
      <c r="H407" s="45" t="str">
        <f t="shared" ca="1" si="13"/>
        <v/>
      </c>
      <c r="I407" s="32"/>
    </row>
    <row r="408" spans="1:9">
      <c r="A408" s="39"/>
      <c r="B408" s="32"/>
      <c r="C408" s="32"/>
      <c r="D408" s="32"/>
      <c r="E408" s="32"/>
      <c r="F408" s="43"/>
      <c r="G408" s="32" t="str">
        <f t="shared" ca="1" si="12"/>
        <v/>
      </c>
      <c r="H408" s="45" t="str">
        <f t="shared" ca="1" si="13"/>
        <v/>
      </c>
      <c r="I408" s="32"/>
    </row>
    <row r="409" spans="1:9">
      <c r="A409" s="39"/>
      <c r="B409" s="32"/>
      <c r="C409" s="32"/>
      <c r="D409" s="32"/>
      <c r="E409" s="32"/>
      <c r="F409" s="43"/>
      <c r="G409" s="32" t="str">
        <f t="shared" ca="1" si="12"/>
        <v/>
      </c>
      <c r="H409" s="45" t="str">
        <f t="shared" ca="1" si="13"/>
        <v/>
      </c>
      <c r="I409" s="32"/>
    </row>
    <row r="410" spans="1:9">
      <c r="A410" s="39"/>
      <c r="B410" s="32"/>
      <c r="C410" s="32"/>
      <c r="D410" s="32"/>
      <c r="E410" s="32"/>
      <c r="F410" s="43"/>
      <c r="G410" s="32" t="str">
        <f t="shared" ca="1" si="12"/>
        <v/>
      </c>
      <c r="H410" s="45" t="str">
        <f t="shared" ca="1" si="13"/>
        <v/>
      </c>
      <c r="I410" s="32"/>
    </row>
    <row r="411" spans="1:9">
      <c r="A411" s="39"/>
      <c r="B411" s="32"/>
      <c r="C411" s="32"/>
      <c r="D411" s="32"/>
      <c r="E411" s="32"/>
      <c r="F411" s="43"/>
      <c r="G411" s="32" t="str">
        <f t="shared" ca="1" si="12"/>
        <v/>
      </c>
      <c r="H411" s="45" t="str">
        <f t="shared" ca="1" si="13"/>
        <v/>
      </c>
      <c r="I411" s="32"/>
    </row>
    <row r="412" spans="1:9">
      <c r="A412" s="39"/>
      <c r="B412" s="32"/>
      <c r="C412" s="32"/>
      <c r="D412" s="32"/>
      <c r="E412" s="32"/>
      <c r="F412" s="43"/>
      <c r="G412" s="32" t="str">
        <f t="shared" ca="1" si="12"/>
        <v/>
      </c>
      <c r="H412" s="45" t="str">
        <f t="shared" ca="1" si="13"/>
        <v/>
      </c>
      <c r="I412" s="32"/>
    </row>
    <row r="413" spans="1:9">
      <c r="A413" s="39"/>
      <c r="B413" s="32"/>
      <c r="C413" s="32"/>
      <c r="D413" s="32"/>
      <c r="E413" s="32"/>
      <c r="F413" s="43"/>
      <c r="G413" s="32" t="str">
        <f t="shared" ca="1" si="12"/>
        <v/>
      </c>
      <c r="H413" s="45" t="str">
        <f t="shared" ca="1" si="13"/>
        <v/>
      </c>
      <c r="I413" s="32"/>
    </row>
    <row r="414" spans="1:9">
      <c r="A414" s="39"/>
      <c r="B414" s="32"/>
      <c r="C414" s="32"/>
      <c r="D414" s="32"/>
      <c r="E414" s="32"/>
      <c r="F414" s="43"/>
      <c r="G414" s="32" t="str">
        <f t="shared" ca="1" si="12"/>
        <v/>
      </c>
      <c r="H414" s="45" t="str">
        <f t="shared" ca="1" si="13"/>
        <v/>
      </c>
      <c r="I414" s="32"/>
    </row>
    <row r="415" spans="1:9">
      <c r="A415" s="39"/>
      <c r="B415" s="32"/>
      <c r="C415" s="32"/>
      <c r="D415" s="32"/>
      <c r="E415" s="32"/>
      <c r="F415" s="43"/>
      <c r="G415" s="32" t="str">
        <f t="shared" ca="1" si="12"/>
        <v/>
      </c>
      <c r="H415" s="45" t="str">
        <f t="shared" ca="1" si="13"/>
        <v/>
      </c>
      <c r="I415" s="32"/>
    </row>
    <row r="416" spans="1:9">
      <c r="A416" s="39"/>
      <c r="B416" s="32"/>
      <c r="C416" s="32"/>
      <c r="D416" s="32"/>
      <c r="E416" s="32"/>
      <c r="F416" s="43"/>
      <c r="G416" s="32" t="str">
        <f t="shared" ca="1" si="12"/>
        <v/>
      </c>
      <c r="H416" s="45" t="str">
        <f t="shared" ca="1" si="13"/>
        <v/>
      </c>
      <c r="I416" s="32"/>
    </row>
    <row r="417" spans="1:9">
      <c r="A417" s="39"/>
      <c r="B417" s="32"/>
      <c r="C417" s="32"/>
      <c r="D417" s="32"/>
      <c r="E417" s="32"/>
      <c r="F417" s="43"/>
      <c r="G417" s="32" t="str">
        <f t="shared" ca="1" si="12"/>
        <v/>
      </c>
      <c r="H417" s="45" t="str">
        <f t="shared" ca="1" si="13"/>
        <v/>
      </c>
      <c r="I417" s="32"/>
    </row>
    <row r="418" spans="1:9">
      <c r="A418" s="39"/>
      <c r="B418" s="32"/>
      <c r="C418" s="32"/>
      <c r="D418" s="32"/>
      <c r="E418" s="32"/>
      <c r="F418" s="43"/>
      <c r="G418" s="32" t="str">
        <f t="shared" ca="1" si="12"/>
        <v/>
      </c>
      <c r="H418" s="45" t="str">
        <f t="shared" ca="1" si="13"/>
        <v/>
      </c>
      <c r="I418" s="32"/>
    </row>
    <row r="419" spans="1:9">
      <c r="A419" s="39"/>
      <c r="B419" s="32"/>
      <c r="C419" s="32"/>
      <c r="D419" s="32"/>
      <c r="E419" s="32"/>
      <c r="F419" s="43"/>
      <c r="G419" s="32" t="str">
        <f t="shared" ca="1" si="12"/>
        <v/>
      </c>
      <c r="H419" s="45" t="str">
        <f t="shared" ca="1" si="13"/>
        <v/>
      </c>
      <c r="I419" s="32"/>
    </row>
    <row r="420" spans="1:9">
      <c r="A420" s="39"/>
      <c r="B420" s="32"/>
      <c r="C420" s="32"/>
      <c r="D420" s="32"/>
      <c r="E420" s="32"/>
      <c r="F420" s="43"/>
      <c r="G420" s="32" t="str">
        <f t="shared" ca="1" si="12"/>
        <v/>
      </c>
      <c r="H420" s="45" t="str">
        <f t="shared" ca="1" si="13"/>
        <v/>
      </c>
      <c r="I420" s="32"/>
    </row>
    <row r="421" spans="1:9">
      <c r="A421" s="39"/>
      <c r="B421" s="32"/>
      <c r="C421" s="32"/>
      <c r="D421" s="32"/>
      <c r="E421" s="32"/>
      <c r="F421" s="43"/>
      <c r="G421" s="32" t="str">
        <f t="shared" ca="1" si="12"/>
        <v/>
      </c>
      <c r="H421" s="45" t="str">
        <f t="shared" ca="1" si="13"/>
        <v/>
      </c>
      <c r="I421" s="32"/>
    </row>
    <row r="422" spans="1:9">
      <c r="A422" s="39"/>
      <c r="B422" s="32"/>
      <c r="C422" s="32"/>
      <c r="D422" s="32"/>
      <c r="E422" s="32"/>
      <c r="F422" s="43"/>
      <c r="G422" s="32" t="str">
        <f t="shared" ca="1" si="12"/>
        <v/>
      </c>
      <c r="H422" s="45" t="str">
        <f t="shared" ca="1" si="13"/>
        <v/>
      </c>
      <c r="I422" s="32"/>
    </row>
    <row r="423" spans="1:9">
      <c r="A423" s="39"/>
      <c r="B423" s="32"/>
      <c r="C423" s="32"/>
      <c r="D423" s="32"/>
      <c r="E423" s="32"/>
      <c r="F423" s="43"/>
      <c r="G423" s="32" t="str">
        <f t="shared" ca="1" si="12"/>
        <v/>
      </c>
      <c r="H423" s="45" t="str">
        <f t="shared" ca="1" si="13"/>
        <v/>
      </c>
      <c r="I423" s="32"/>
    </row>
    <row r="424" spans="1:9">
      <c r="A424" s="39"/>
      <c r="B424" s="32"/>
      <c r="C424" s="32"/>
      <c r="D424" s="32"/>
      <c r="E424" s="32"/>
      <c r="F424" s="43"/>
      <c r="G424" s="32" t="str">
        <f t="shared" ca="1" si="12"/>
        <v/>
      </c>
      <c r="H424" s="45" t="str">
        <f t="shared" ca="1" si="13"/>
        <v/>
      </c>
      <c r="I424" s="32"/>
    </row>
    <row r="425" spans="1:9">
      <c r="A425" s="39"/>
      <c r="B425" s="32"/>
      <c r="C425" s="32"/>
      <c r="D425" s="32"/>
      <c r="E425" s="32"/>
      <c r="F425" s="43"/>
      <c r="G425" s="32" t="str">
        <f t="shared" ca="1" si="12"/>
        <v/>
      </c>
      <c r="H425" s="45" t="str">
        <f t="shared" ca="1" si="13"/>
        <v/>
      </c>
      <c r="I425" s="32"/>
    </row>
    <row r="426" spans="1:9">
      <c r="A426" s="39"/>
      <c r="B426" s="32"/>
      <c r="C426" s="32"/>
      <c r="D426" s="32"/>
      <c r="E426" s="32"/>
      <c r="F426" s="43"/>
      <c r="G426" s="32" t="str">
        <f t="shared" ca="1" si="12"/>
        <v/>
      </c>
      <c r="H426" s="45" t="str">
        <f t="shared" ca="1" si="13"/>
        <v/>
      </c>
      <c r="I426" s="32"/>
    </row>
    <row r="427" spans="1:9">
      <c r="A427" s="39"/>
      <c r="B427" s="32"/>
      <c r="C427" s="32"/>
      <c r="D427" s="32"/>
      <c r="E427" s="32"/>
      <c r="F427" s="43"/>
      <c r="G427" s="32" t="str">
        <f t="shared" ca="1" si="12"/>
        <v/>
      </c>
      <c r="H427" s="45" t="str">
        <f t="shared" ca="1" si="13"/>
        <v/>
      </c>
      <c r="I427" s="32"/>
    </row>
    <row r="428" spans="1:9">
      <c r="A428" s="39"/>
      <c r="B428" s="32"/>
      <c r="C428" s="32"/>
      <c r="D428" s="32"/>
      <c r="E428" s="32"/>
      <c r="F428" s="43"/>
      <c r="G428" s="32" t="str">
        <f t="shared" ca="1" si="12"/>
        <v/>
      </c>
      <c r="H428" s="45" t="str">
        <f t="shared" ca="1" si="13"/>
        <v/>
      </c>
      <c r="I428" s="32"/>
    </row>
    <row r="429" spans="1:9">
      <c r="A429" s="39"/>
      <c r="B429" s="32"/>
      <c r="C429" s="32"/>
      <c r="D429" s="32"/>
      <c r="E429" s="32"/>
      <c r="F429" s="43"/>
      <c r="G429" s="32" t="str">
        <f t="shared" ca="1" si="12"/>
        <v/>
      </c>
      <c r="H429" s="45" t="str">
        <f t="shared" ca="1" si="13"/>
        <v/>
      </c>
      <c r="I429" s="32"/>
    </row>
    <row r="430" spans="1:9">
      <c r="A430" s="39"/>
      <c r="B430" s="32"/>
      <c r="C430" s="32"/>
      <c r="D430" s="32"/>
      <c r="E430" s="32"/>
      <c r="F430" s="43"/>
      <c r="G430" s="32" t="str">
        <f t="shared" ca="1" si="12"/>
        <v/>
      </c>
      <c r="H430" s="45" t="str">
        <f t="shared" ca="1" si="13"/>
        <v/>
      </c>
      <c r="I430" s="32"/>
    </row>
    <row r="431" spans="1:9">
      <c r="A431" s="39"/>
      <c r="B431" s="32"/>
      <c r="C431" s="32"/>
      <c r="D431" s="32"/>
      <c r="E431" s="32"/>
      <c r="F431" s="43"/>
      <c r="G431" s="32" t="str">
        <f t="shared" ca="1" si="12"/>
        <v/>
      </c>
      <c r="H431" s="45" t="str">
        <f t="shared" ca="1" si="13"/>
        <v/>
      </c>
      <c r="I431" s="32"/>
    </row>
    <row r="432" spans="1:9">
      <c r="A432" s="39"/>
      <c r="B432" s="32"/>
      <c r="C432" s="32"/>
      <c r="D432" s="32"/>
      <c r="E432" s="32"/>
      <c r="F432" s="43"/>
      <c r="G432" s="32" t="str">
        <f t="shared" ca="1" si="12"/>
        <v/>
      </c>
      <c r="H432" s="45" t="str">
        <f t="shared" ca="1" si="13"/>
        <v/>
      </c>
      <c r="I432" s="32"/>
    </row>
    <row r="433" spans="1:9">
      <c r="A433" s="39"/>
      <c r="B433" s="32"/>
      <c r="C433" s="32"/>
      <c r="D433" s="32"/>
      <c r="E433" s="32"/>
      <c r="F433" s="43"/>
      <c r="G433" s="32" t="str">
        <f t="shared" ca="1" si="12"/>
        <v/>
      </c>
      <c r="H433" s="45" t="str">
        <f t="shared" ca="1" si="13"/>
        <v/>
      </c>
      <c r="I433" s="32"/>
    </row>
    <row r="434" spans="1:9">
      <c r="A434" s="39"/>
      <c r="B434" s="32"/>
      <c r="C434" s="32"/>
      <c r="D434" s="32"/>
      <c r="E434" s="32"/>
      <c r="F434" s="43"/>
      <c r="G434" s="32" t="str">
        <f t="shared" ca="1" si="12"/>
        <v/>
      </c>
      <c r="H434" s="45" t="str">
        <f t="shared" ca="1" si="13"/>
        <v/>
      </c>
      <c r="I434" s="32"/>
    </row>
    <row r="435" spans="1:9">
      <c r="A435" s="39"/>
      <c r="B435" s="32"/>
      <c r="C435" s="32"/>
      <c r="D435" s="32"/>
      <c r="E435" s="32"/>
      <c r="F435" s="43"/>
      <c r="G435" s="32" t="str">
        <f t="shared" ca="1" si="12"/>
        <v/>
      </c>
      <c r="H435" s="45" t="str">
        <f t="shared" ca="1" si="13"/>
        <v/>
      </c>
      <c r="I435" s="32"/>
    </row>
    <row r="436" spans="1:9">
      <c r="A436" s="39"/>
      <c r="B436" s="32"/>
      <c r="C436" s="32"/>
      <c r="D436" s="32"/>
      <c r="E436" s="32"/>
      <c r="F436" s="43"/>
      <c r="G436" s="32" t="str">
        <f t="shared" ca="1" si="12"/>
        <v/>
      </c>
      <c r="H436" s="45" t="str">
        <f t="shared" ca="1" si="13"/>
        <v/>
      </c>
      <c r="I436" s="32"/>
    </row>
    <row r="437" spans="1:9">
      <c r="A437" s="39"/>
      <c r="B437" s="32"/>
      <c r="C437" s="32"/>
      <c r="D437" s="32"/>
      <c r="E437" s="32"/>
      <c r="F437" s="43"/>
      <c r="G437" s="32" t="str">
        <f t="shared" ca="1" si="12"/>
        <v/>
      </c>
      <c r="H437" s="45" t="str">
        <f t="shared" ca="1" si="13"/>
        <v/>
      </c>
      <c r="I437" s="32"/>
    </row>
    <row r="438" spans="1:9">
      <c r="A438" s="39"/>
      <c r="B438" s="32"/>
      <c r="C438" s="32"/>
      <c r="D438" s="32"/>
      <c r="E438" s="32"/>
      <c r="F438" s="43"/>
      <c r="G438" s="32" t="str">
        <f t="shared" ca="1" si="12"/>
        <v/>
      </c>
      <c r="H438" s="45" t="str">
        <f t="shared" ca="1" si="13"/>
        <v/>
      </c>
      <c r="I438" s="32"/>
    </row>
    <row r="439" spans="1:9">
      <c r="A439" s="39"/>
      <c r="B439" s="32"/>
      <c r="C439" s="32"/>
      <c r="D439" s="32"/>
      <c r="E439" s="32"/>
      <c r="F439" s="43"/>
      <c r="G439" s="32" t="str">
        <f t="shared" ca="1" si="12"/>
        <v/>
      </c>
      <c r="H439" s="45" t="str">
        <f t="shared" ca="1" si="13"/>
        <v/>
      </c>
      <c r="I439" s="32"/>
    </row>
    <row r="440" spans="1:9">
      <c r="A440" s="39"/>
      <c r="B440" s="32"/>
      <c r="C440" s="32"/>
      <c r="D440" s="32"/>
      <c r="E440" s="32"/>
      <c r="F440" s="43"/>
      <c r="G440" s="32" t="str">
        <f t="shared" ca="1" si="12"/>
        <v/>
      </c>
      <c r="H440" s="45" t="str">
        <f t="shared" ca="1" si="13"/>
        <v/>
      </c>
      <c r="I440" s="32"/>
    </row>
    <row r="441" spans="1:9">
      <c r="A441" s="39"/>
      <c r="B441" s="32"/>
      <c r="C441" s="32"/>
      <c r="D441" s="32"/>
      <c r="E441" s="32"/>
      <c r="F441" s="43"/>
      <c r="G441" s="32" t="str">
        <f t="shared" ca="1" si="12"/>
        <v/>
      </c>
      <c r="H441" s="45" t="str">
        <f t="shared" ca="1" si="13"/>
        <v/>
      </c>
      <c r="I441" s="32"/>
    </row>
    <row r="442" spans="1:9">
      <c r="A442" s="39"/>
      <c r="B442" s="32"/>
      <c r="C442" s="32"/>
      <c r="D442" s="32"/>
      <c r="E442" s="32"/>
      <c r="F442" s="43"/>
      <c r="G442" s="32" t="str">
        <f t="shared" ca="1" si="12"/>
        <v/>
      </c>
      <c r="H442" s="45" t="str">
        <f t="shared" ca="1" si="13"/>
        <v/>
      </c>
      <c r="I442" s="32"/>
    </row>
    <row r="443" spans="1:9">
      <c r="A443" s="39"/>
      <c r="B443" s="32"/>
      <c r="C443" s="32"/>
      <c r="D443" s="32"/>
      <c r="E443" s="32"/>
      <c r="F443" s="43"/>
      <c r="G443" s="32" t="str">
        <f t="shared" ca="1" si="12"/>
        <v/>
      </c>
      <c r="H443" s="45" t="str">
        <f t="shared" ca="1" si="13"/>
        <v/>
      </c>
      <c r="I443" s="32"/>
    </row>
    <row r="444" spans="1:9">
      <c r="A444" s="39"/>
      <c r="B444" s="32"/>
      <c r="C444" s="32"/>
      <c r="D444" s="32"/>
      <c r="E444" s="32"/>
      <c r="F444" s="43"/>
      <c r="G444" s="32" t="str">
        <f t="shared" ca="1" si="12"/>
        <v/>
      </c>
      <c r="H444" s="45" t="str">
        <f t="shared" ca="1" si="13"/>
        <v/>
      </c>
      <c r="I444" s="32"/>
    </row>
    <row r="445" spans="1:9">
      <c r="A445" s="39"/>
      <c r="B445" s="32"/>
      <c r="C445" s="32"/>
      <c r="D445" s="32"/>
      <c r="E445" s="32"/>
      <c r="F445" s="43"/>
      <c r="G445" s="32" t="str">
        <f t="shared" ca="1" si="12"/>
        <v/>
      </c>
      <c r="H445" s="45" t="str">
        <f t="shared" ca="1" si="13"/>
        <v/>
      </c>
      <c r="I445" s="32"/>
    </row>
    <row r="446" spans="1:9">
      <c r="A446" s="39"/>
      <c r="B446" s="32"/>
      <c r="C446" s="32"/>
      <c r="D446" s="32"/>
      <c r="E446" s="32"/>
      <c r="F446" s="43"/>
      <c r="G446" s="32" t="str">
        <f t="shared" ca="1" si="12"/>
        <v/>
      </c>
      <c r="H446" s="45" t="str">
        <f t="shared" ca="1" si="13"/>
        <v/>
      </c>
      <c r="I446" s="32"/>
    </row>
    <row r="447" spans="1:9">
      <c r="A447" s="39"/>
      <c r="B447" s="32"/>
      <c r="C447" s="32"/>
      <c r="D447" s="32"/>
      <c r="E447" s="32"/>
      <c r="F447" s="43"/>
      <c r="G447" s="32" t="str">
        <f t="shared" ca="1" si="12"/>
        <v/>
      </c>
      <c r="H447" s="45" t="str">
        <f t="shared" ca="1" si="13"/>
        <v/>
      </c>
      <c r="I447" s="32"/>
    </row>
    <row r="448" spans="1:9">
      <c r="A448" s="39"/>
      <c r="B448" s="32"/>
      <c r="C448" s="32"/>
      <c r="D448" s="32"/>
      <c r="E448" s="32"/>
      <c r="F448" s="43"/>
      <c r="G448" s="32" t="str">
        <f t="shared" ca="1" si="12"/>
        <v/>
      </c>
      <c r="H448" s="45" t="str">
        <f t="shared" ca="1" si="13"/>
        <v/>
      </c>
      <c r="I448" s="32"/>
    </row>
    <row r="449" spans="1:9">
      <c r="A449" s="39"/>
      <c r="B449" s="32"/>
      <c r="C449" s="32"/>
      <c r="D449" s="32"/>
      <c r="E449" s="32"/>
      <c r="F449" s="43"/>
      <c r="G449" s="32" t="str">
        <f t="shared" ca="1" si="12"/>
        <v/>
      </c>
      <c r="H449" s="45" t="str">
        <f t="shared" ca="1" si="13"/>
        <v/>
      </c>
      <c r="I449" s="32"/>
    </row>
    <row r="450" spans="1:9">
      <c r="A450" s="39"/>
      <c r="B450" s="32"/>
      <c r="C450" s="32"/>
      <c r="D450" s="32"/>
      <c r="E450" s="32"/>
      <c r="F450" s="43"/>
      <c r="G450" s="32" t="str">
        <f t="shared" ref="G450:G500" ca="1" si="14">IF(A450="","",IF(F450="","Sin vencimiento",IF(F450&lt;TODAY(),"Vencida",IF(F450&lt;=TODAY()+30,"Por vencer","Vigente"))))</f>
        <v/>
      </c>
      <c r="H450" s="45" t="str">
        <f t="shared" ref="H450:H500" ca="1" si="15">IF(A450="","",IF(F450="","",F450-TODAY()))</f>
        <v/>
      </c>
      <c r="I450" s="32"/>
    </row>
    <row r="451" spans="1:9">
      <c r="A451" s="39"/>
      <c r="B451" s="32"/>
      <c r="C451" s="32"/>
      <c r="D451" s="32"/>
      <c r="E451" s="32"/>
      <c r="F451" s="43"/>
      <c r="G451" s="32" t="str">
        <f t="shared" ca="1" si="14"/>
        <v/>
      </c>
      <c r="H451" s="45" t="str">
        <f t="shared" ca="1" si="15"/>
        <v/>
      </c>
      <c r="I451" s="32"/>
    </row>
    <row r="452" spans="1:9">
      <c r="A452" s="39"/>
      <c r="B452" s="32"/>
      <c r="C452" s="32"/>
      <c r="D452" s="32"/>
      <c r="E452" s="32"/>
      <c r="F452" s="43"/>
      <c r="G452" s="32" t="str">
        <f t="shared" ca="1" si="14"/>
        <v/>
      </c>
      <c r="H452" s="45" t="str">
        <f t="shared" ca="1" si="15"/>
        <v/>
      </c>
      <c r="I452" s="32"/>
    </row>
    <row r="453" spans="1:9">
      <c r="A453" s="39"/>
      <c r="B453" s="32"/>
      <c r="C453" s="32"/>
      <c r="D453" s="32"/>
      <c r="E453" s="32"/>
      <c r="F453" s="43"/>
      <c r="G453" s="32" t="str">
        <f t="shared" ca="1" si="14"/>
        <v/>
      </c>
      <c r="H453" s="45" t="str">
        <f t="shared" ca="1" si="15"/>
        <v/>
      </c>
      <c r="I453" s="32"/>
    </row>
    <row r="454" spans="1:9">
      <c r="A454" s="39"/>
      <c r="B454" s="32"/>
      <c r="C454" s="32"/>
      <c r="D454" s="32"/>
      <c r="E454" s="32"/>
      <c r="F454" s="43"/>
      <c r="G454" s="32" t="str">
        <f t="shared" ca="1" si="14"/>
        <v/>
      </c>
      <c r="H454" s="45" t="str">
        <f t="shared" ca="1" si="15"/>
        <v/>
      </c>
      <c r="I454" s="32"/>
    </row>
    <row r="455" spans="1:9">
      <c r="A455" s="39"/>
      <c r="B455" s="32"/>
      <c r="C455" s="32"/>
      <c r="D455" s="32"/>
      <c r="E455" s="32"/>
      <c r="F455" s="43"/>
      <c r="G455" s="32" t="str">
        <f t="shared" ca="1" si="14"/>
        <v/>
      </c>
      <c r="H455" s="45" t="str">
        <f t="shared" ca="1" si="15"/>
        <v/>
      </c>
      <c r="I455" s="32"/>
    </row>
    <row r="456" spans="1:9">
      <c r="A456" s="39"/>
      <c r="B456" s="32"/>
      <c r="C456" s="32"/>
      <c r="D456" s="32"/>
      <c r="E456" s="32"/>
      <c r="F456" s="43"/>
      <c r="G456" s="32" t="str">
        <f t="shared" ca="1" si="14"/>
        <v/>
      </c>
      <c r="H456" s="45" t="str">
        <f t="shared" ca="1" si="15"/>
        <v/>
      </c>
      <c r="I456" s="32"/>
    </row>
    <row r="457" spans="1:9">
      <c r="A457" s="39"/>
      <c r="B457" s="32"/>
      <c r="C457" s="32"/>
      <c r="D457" s="32"/>
      <c r="E457" s="32"/>
      <c r="F457" s="43"/>
      <c r="G457" s="32" t="str">
        <f t="shared" ca="1" si="14"/>
        <v/>
      </c>
      <c r="H457" s="45" t="str">
        <f t="shared" ca="1" si="15"/>
        <v/>
      </c>
      <c r="I457" s="32"/>
    </row>
    <row r="458" spans="1:9">
      <c r="A458" s="39"/>
      <c r="B458" s="32"/>
      <c r="C458" s="32"/>
      <c r="D458" s="32"/>
      <c r="E458" s="32"/>
      <c r="F458" s="43"/>
      <c r="G458" s="32" t="str">
        <f t="shared" ca="1" si="14"/>
        <v/>
      </c>
      <c r="H458" s="45" t="str">
        <f t="shared" ca="1" si="15"/>
        <v/>
      </c>
      <c r="I458" s="32"/>
    </row>
    <row r="459" spans="1:9">
      <c r="A459" s="39"/>
      <c r="B459" s="32"/>
      <c r="C459" s="32"/>
      <c r="D459" s="32"/>
      <c r="E459" s="32"/>
      <c r="F459" s="43"/>
      <c r="G459" s="32" t="str">
        <f t="shared" ca="1" si="14"/>
        <v/>
      </c>
      <c r="H459" s="45" t="str">
        <f t="shared" ca="1" si="15"/>
        <v/>
      </c>
      <c r="I459" s="32"/>
    </row>
    <row r="460" spans="1:9">
      <c r="A460" s="39"/>
      <c r="B460" s="32"/>
      <c r="C460" s="32"/>
      <c r="D460" s="32"/>
      <c r="E460" s="32"/>
      <c r="F460" s="43"/>
      <c r="G460" s="32" t="str">
        <f t="shared" ca="1" si="14"/>
        <v/>
      </c>
      <c r="H460" s="45" t="str">
        <f t="shared" ca="1" si="15"/>
        <v/>
      </c>
      <c r="I460" s="32"/>
    </row>
    <row r="461" spans="1:9">
      <c r="A461" s="39"/>
      <c r="B461" s="32"/>
      <c r="C461" s="32"/>
      <c r="D461" s="32"/>
      <c r="E461" s="32"/>
      <c r="F461" s="43"/>
      <c r="G461" s="32" t="str">
        <f t="shared" ca="1" si="14"/>
        <v/>
      </c>
      <c r="H461" s="45" t="str">
        <f t="shared" ca="1" si="15"/>
        <v/>
      </c>
      <c r="I461" s="32"/>
    </row>
    <row r="462" spans="1:9">
      <c r="A462" s="39"/>
      <c r="B462" s="32"/>
      <c r="C462" s="32"/>
      <c r="D462" s="32"/>
      <c r="E462" s="32"/>
      <c r="F462" s="43"/>
      <c r="G462" s="32" t="str">
        <f t="shared" ca="1" si="14"/>
        <v/>
      </c>
      <c r="H462" s="45" t="str">
        <f t="shared" ca="1" si="15"/>
        <v/>
      </c>
      <c r="I462" s="32"/>
    </row>
    <row r="463" spans="1:9">
      <c r="A463" s="39"/>
      <c r="B463" s="32"/>
      <c r="C463" s="32"/>
      <c r="D463" s="32"/>
      <c r="E463" s="32"/>
      <c r="F463" s="43"/>
      <c r="G463" s="32" t="str">
        <f t="shared" ca="1" si="14"/>
        <v/>
      </c>
      <c r="H463" s="45" t="str">
        <f t="shared" ca="1" si="15"/>
        <v/>
      </c>
      <c r="I463" s="32"/>
    </row>
    <row r="464" spans="1:9">
      <c r="A464" s="39"/>
      <c r="B464" s="32"/>
      <c r="C464" s="32"/>
      <c r="D464" s="32"/>
      <c r="E464" s="32"/>
      <c r="F464" s="43"/>
      <c r="G464" s="32" t="str">
        <f t="shared" ca="1" si="14"/>
        <v/>
      </c>
      <c r="H464" s="45" t="str">
        <f t="shared" ca="1" si="15"/>
        <v/>
      </c>
      <c r="I464" s="32"/>
    </row>
    <row r="465" spans="1:9">
      <c r="A465" s="39"/>
      <c r="B465" s="32"/>
      <c r="C465" s="32"/>
      <c r="D465" s="32"/>
      <c r="E465" s="32"/>
      <c r="F465" s="43"/>
      <c r="G465" s="32" t="str">
        <f t="shared" ca="1" si="14"/>
        <v/>
      </c>
      <c r="H465" s="45" t="str">
        <f t="shared" ca="1" si="15"/>
        <v/>
      </c>
      <c r="I465" s="32"/>
    </row>
    <row r="466" spans="1:9">
      <c r="A466" s="39"/>
      <c r="B466" s="32"/>
      <c r="C466" s="32"/>
      <c r="D466" s="32"/>
      <c r="E466" s="32"/>
      <c r="F466" s="43"/>
      <c r="G466" s="32" t="str">
        <f t="shared" ca="1" si="14"/>
        <v/>
      </c>
      <c r="H466" s="45" t="str">
        <f t="shared" ca="1" si="15"/>
        <v/>
      </c>
      <c r="I466" s="32"/>
    </row>
    <row r="467" spans="1:9">
      <c r="A467" s="39"/>
      <c r="B467" s="32"/>
      <c r="C467" s="32"/>
      <c r="D467" s="32"/>
      <c r="E467" s="32"/>
      <c r="F467" s="43"/>
      <c r="G467" s="32" t="str">
        <f t="shared" ca="1" si="14"/>
        <v/>
      </c>
      <c r="H467" s="45" t="str">
        <f t="shared" ca="1" si="15"/>
        <v/>
      </c>
      <c r="I467" s="32"/>
    </row>
    <row r="468" spans="1:9">
      <c r="A468" s="39"/>
      <c r="B468" s="32"/>
      <c r="C468" s="32"/>
      <c r="D468" s="32"/>
      <c r="E468" s="32"/>
      <c r="F468" s="43"/>
      <c r="G468" s="32" t="str">
        <f t="shared" ca="1" si="14"/>
        <v/>
      </c>
      <c r="H468" s="45" t="str">
        <f t="shared" ca="1" si="15"/>
        <v/>
      </c>
      <c r="I468" s="32"/>
    </row>
    <row r="469" spans="1:9">
      <c r="A469" s="39"/>
      <c r="B469" s="32"/>
      <c r="C469" s="32"/>
      <c r="D469" s="32"/>
      <c r="E469" s="32"/>
      <c r="F469" s="43"/>
      <c r="G469" s="32" t="str">
        <f t="shared" ca="1" si="14"/>
        <v/>
      </c>
      <c r="H469" s="45" t="str">
        <f t="shared" ca="1" si="15"/>
        <v/>
      </c>
      <c r="I469" s="32"/>
    </row>
    <row r="470" spans="1:9">
      <c r="A470" s="39"/>
      <c r="B470" s="32"/>
      <c r="C470" s="32"/>
      <c r="D470" s="32"/>
      <c r="E470" s="32"/>
      <c r="F470" s="43"/>
      <c r="G470" s="32" t="str">
        <f t="shared" ca="1" si="14"/>
        <v/>
      </c>
      <c r="H470" s="45" t="str">
        <f t="shared" ca="1" si="15"/>
        <v/>
      </c>
      <c r="I470" s="32"/>
    </row>
    <row r="471" spans="1:9">
      <c r="A471" s="39"/>
      <c r="B471" s="32"/>
      <c r="C471" s="32"/>
      <c r="D471" s="32"/>
      <c r="E471" s="32"/>
      <c r="F471" s="43"/>
      <c r="G471" s="32" t="str">
        <f t="shared" ca="1" si="14"/>
        <v/>
      </c>
      <c r="H471" s="45" t="str">
        <f t="shared" ca="1" si="15"/>
        <v/>
      </c>
      <c r="I471" s="32"/>
    </row>
    <row r="472" spans="1:9">
      <c r="A472" s="39"/>
      <c r="B472" s="32"/>
      <c r="C472" s="32"/>
      <c r="D472" s="32"/>
      <c r="E472" s="32"/>
      <c r="F472" s="43"/>
      <c r="G472" s="32" t="str">
        <f t="shared" ca="1" si="14"/>
        <v/>
      </c>
      <c r="H472" s="45" t="str">
        <f t="shared" ca="1" si="15"/>
        <v/>
      </c>
      <c r="I472" s="32"/>
    </row>
    <row r="473" spans="1:9">
      <c r="A473" s="39"/>
      <c r="B473" s="32"/>
      <c r="C473" s="32"/>
      <c r="D473" s="32"/>
      <c r="E473" s="32"/>
      <c r="F473" s="43"/>
      <c r="G473" s="32" t="str">
        <f t="shared" ca="1" si="14"/>
        <v/>
      </c>
      <c r="H473" s="45" t="str">
        <f t="shared" ca="1" si="15"/>
        <v/>
      </c>
      <c r="I473" s="32"/>
    </row>
    <row r="474" spans="1:9">
      <c r="A474" s="39"/>
      <c r="B474" s="32"/>
      <c r="C474" s="32"/>
      <c r="D474" s="32"/>
      <c r="E474" s="32"/>
      <c r="F474" s="43"/>
      <c r="G474" s="32" t="str">
        <f t="shared" ca="1" si="14"/>
        <v/>
      </c>
      <c r="H474" s="45" t="str">
        <f t="shared" ca="1" si="15"/>
        <v/>
      </c>
      <c r="I474" s="32"/>
    </row>
    <row r="475" spans="1:9">
      <c r="A475" s="39"/>
      <c r="B475" s="32"/>
      <c r="C475" s="32"/>
      <c r="D475" s="32"/>
      <c r="E475" s="32"/>
      <c r="F475" s="43"/>
      <c r="G475" s="32" t="str">
        <f t="shared" ca="1" si="14"/>
        <v/>
      </c>
      <c r="H475" s="45" t="str">
        <f t="shared" ca="1" si="15"/>
        <v/>
      </c>
      <c r="I475" s="32"/>
    </row>
    <row r="476" spans="1:9">
      <c r="A476" s="39"/>
      <c r="B476" s="32"/>
      <c r="C476" s="32"/>
      <c r="D476" s="32"/>
      <c r="E476" s="32"/>
      <c r="F476" s="43"/>
      <c r="G476" s="32" t="str">
        <f t="shared" ca="1" si="14"/>
        <v/>
      </c>
      <c r="H476" s="45" t="str">
        <f t="shared" ca="1" si="15"/>
        <v/>
      </c>
      <c r="I476" s="32"/>
    </row>
    <row r="477" spans="1:9">
      <c r="A477" s="39"/>
      <c r="B477" s="32"/>
      <c r="C477" s="32"/>
      <c r="D477" s="32"/>
      <c r="E477" s="32"/>
      <c r="F477" s="43"/>
      <c r="G477" s="32" t="str">
        <f t="shared" ca="1" si="14"/>
        <v/>
      </c>
      <c r="H477" s="45" t="str">
        <f t="shared" ca="1" si="15"/>
        <v/>
      </c>
      <c r="I477" s="32"/>
    </row>
    <row r="478" spans="1:9">
      <c r="A478" s="39"/>
      <c r="B478" s="32"/>
      <c r="C478" s="32"/>
      <c r="D478" s="32"/>
      <c r="E478" s="32"/>
      <c r="F478" s="43"/>
      <c r="G478" s="32" t="str">
        <f t="shared" ca="1" si="14"/>
        <v/>
      </c>
      <c r="H478" s="45" t="str">
        <f t="shared" ca="1" si="15"/>
        <v/>
      </c>
      <c r="I478" s="32"/>
    </row>
    <row r="479" spans="1:9">
      <c r="A479" s="39"/>
      <c r="B479" s="32"/>
      <c r="C479" s="32"/>
      <c r="D479" s="32"/>
      <c r="E479" s="32"/>
      <c r="F479" s="43"/>
      <c r="G479" s="32" t="str">
        <f t="shared" ca="1" si="14"/>
        <v/>
      </c>
      <c r="H479" s="45" t="str">
        <f t="shared" ca="1" si="15"/>
        <v/>
      </c>
      <c r="I479" s="32"/>
    </row>
    <row r="480" spans="1:9">
      <c r="A480" s="39"/>
      <c r="B480" s="32"/>
      <c r="C480" s="32"/>
      <c r="D480" s="32"/>
      <c r="E480" s="32"/>
      <c r="F480" s="43"/>
      <c r="G480" s="32" t="str">
        <f t="shared" ca="1" si="14"/>
        <v/>
      </c>
      <c r="H480" s="45" t="str">
        <f t="shared" ca="1" si="15"/>
        <v/>
      </c>
      <c r="I480" s="32"/>
    </row>
    <row r="481" spans="1:9">
      <c r="A481" s="39"/>
      <c r="B481" s="32"/>
      <c r="C481" s="32"/>
      <c r="D481" s="32"/>
      <c r="E481" s="32"/>
      <c r="F481" s="43"/>
      <c r="G481" s="32" t="str">
        <f t="shared" ca="1" si="14"/>
        <v/>
      </c>
      <c r="H481" s="45" t="str">
        <f t="shared" ca="1" si="15"/>
        <v/>
      </c>
      <c r="I481" s="32"/>
    </row>
    <row r="482" spans="1:9">
      <c r="A482" s="39"/>
      <c r="B482" s="32"/>
      <c r="C482" s="32"/>
      <c r="D482" s="32"/>
      <c r="E482" s="32"/>
      <c r="F482" s="43"/>
      <c r="G482" s="32" t="str">
        <f t="shared" ca="1" si="14"/>
        <v/>
      </c>
      <c r="H482" s="45" t="str">
        <f t="shared" ca="1" si="15"/>
        <v/>
      </c>
      <c r="I482" s="32"/>
    </row>
    <row r="483" spans="1:9">
      <c r="A483" s="39"/>
      <c r="B483" s="32"/>
      <c r="C483" s="32"/>
      <c r="D483" s="32"/>
      <c r="E483" s="32"/>
      <c r="F483" s="43"/>
      <c r="G483" s="32" t="str">
        <f t="shared" ca="1" si="14"/>
        <v/>
      </c>
      <c r="H483" s="45" t="str">
        <f t="shared" ca="1" si="15"/>
        <v/>
      </c>
      <c r="I483" s="32"/>
    </row>
    <row r="484" spans="1:9">
      <c r="A484" s="39"/>
      <c r="B484" s="32"/>
      <c r="C484" s="32"/>
      <c r="D484" s="32"/>
      <c r="E484" s="32"/>
      <c r="F484" s="43"/>
      <c r="G484" s="32" t="str">
        <f t="shared" ca="1" si="14"/>
        <v/>
      </c>
      <c r="H484" s="45" t="str">
        <f t="shared" ca="1" si="15"/>
        <v/>
      </c>
      <c r="I484" s="32"/>
    </row>
    <row r="485" spans="1:9">
      <c r="A485" s="39"/>
      <c r="B485" s="32"/>
      <c r="C485" s="32"/>
      <c r="D485" s="32"/>
      <c r="E485" s="32"/>
      <c r="F485" s="43"/>
      <c r="G485" s="32" t="str">
        <f t="shared" ca="1" si="14"/>
        <v/>
      </c>
      <c r="H485" s="45" t="str">
        <f t="shared" ca="1" si="15"/>
        <v/>
      </c>
      <c r="I485" s="32"/>
    </row>
    <row r="486" spans="1:9">
      <c r="A486" s="39"/>
      <c r="B486" s="32"/>
      <c r="C486" s="32"/>
      <c r="D486" s="32"/>
      <c r="E486" s="32"/>
      <c r="F486" s="43"/>
      <c r="G486" s="32" t="str">
        <f t="shared" ca="1" si="14"/>
        <v/>
      </c>
      <c r="H486" s="45" t="str">
        <f t="shared" ca="1" si="15"/>
        <v/>
      </c>
      <c r="I486" s="32"/>
    </row>
    <row r="487" spans="1:9">
      <c r="A487" s="39"/>
      <c r="B487" s="32"/>
      <c r="C487" s="32"/>
      <c r="D487" s="32"/>
      <c r="E487" s="32"/>
      <c r="F487" s="43"/>
      <c r="G487" s="32" t="str">
        <f t="shared" ca="1" si="14"/>
        <v/>
      </c>
      <c r="H487" s="45" t="str">
        <f t="shared" ca="1" si="15"/>
        <v/>
      </c>
      <c r="I487" s="32"/>
    </row>
    <row r="488" spans="1:9">
      <c r="A488" s="39"/>
      <c r="B488" s="32"/>
      <c r="C488" s="32"/>
      <c r="D488" s="32"/>
      <c r="E488" s="32"/>
      <c r="F488" s="43"/>
      <c r="G488" s="32" t="str">
        <f t="shared" ca="1" si="14"/>
        <v/>
      </c>
      <c r="H488" s="45" t="str">
        <f t="shared" ca="1" si="15"/>
        <v/>
      </c>
      <c r="I488" s="32"/>
    </row>
    <row r="489" spans="1:9">
      <c r="A489" s="39"/>
      <c r="B489" s="32"/>
      <c r="C489" s="32"/>
      <c r="D489" s="32"/>
      <c r="E489" s="32"/>
      <c r="F489" s="43"/>
      <c r="G489" s="32" t="str">
        <f t="shared" ca="1" si="14"/>
        <v/>
      </c>
      <c r="H489" s="45" t="str">
        <f t="shared" ca="1" si="15"/>
        <v/>
      </c>
      <c r="I489" s="32"/>
    </row>
    <row r="490" spans="1:9">
      <c r="A490" s="39"/>
      <c r="B490" s="32"/>
      <c r="C490" s="32"/>
      <c r="D490" s="32"/>
      <c r="E490" s="32"/>
      <c r="F490" s="43"/>
      <c r="G490" s="32" t="str">
        <f t="shared" ca="1" si="14"/>
        <v/>
      </c>
      <c r="H490" s="45" t="str">
        <f t="shared" ca="1" si="15"/>
        <v/>
      </c>
      <c r="I490" s="32"/>
    </row>
    <row r="491" spans="1:9">
      <c r="A491" s="39"/>
      <c r="B491" s="32"/>
      <c r="C491" s="32"/>
      <c r="D491" s="32"/>
      <c r="E491" s="32"/>
      <c r="F491" s="43"/>
      <c r="G491" s="32" t="str">
        <f t="shared" ca="1" si="14"/>
        <v/>
      </c>
      <c r="H491" s="45" t="str">
        <f t="shared" ca="1" si="15"/>
        <v/>
      </c>
      <c r="I491" s="32"/>
    </row>
    <row r="492" spans="1:9">
      <c r="A492" s="39"/>
      <c r="B492" s="32"/>
      <c r="C492" s="32"/>
      <c r="D492" s="32"/>
      <c r="E492" s="32"/>
      <c r="F492" s="43"/>
      <c r="G492" s="32" t="str">
        <f t="shared" ca="1" si="14"/>
        <v/>
      </c>
      <c r="H492" s="45" t="str">
        <f t="shared" ca="1" si="15"/>
        <v/>
      </c>
      <c r="I492" s="32"/>
    </row>
    <row r="493" spans="1:9">
      <c r="A493" s="39"/>
      <c r="B493" s="32"/>
      <c r="C493" s="32"/>
      <c r="D493" s="32"/>
      <c r="E493" s="32"/>
      <c r="F493" s="43"/>
      <c r="G493" s="32" t="str">
        <f t="shared" ca="1" si="14"/>
        <v/>
      </c>
      <c r="H493" s="45" t="str">
        <f t="shared" ca="1" si="15"/>
        <v/>
      </c>
      <c r="I493" s="32"/>
    </row>
    <row r="494" spans="1:9">
      <c r="A494" s="39"/>
      <c r="B494" s="32"/>
      <c r="C494" s="32"/>
      <c r="D494" s="32"/>
      <c r="E494" s="32"/>
      <c r="F494" s="43"/>
      <c r="G494" s="32" t="str">
        <f t="shared" ca="1" si="14"/>
        <v/>
      </c>
      <c r="H494" s="45" t="str">
        <f t="shared" ca="1" si="15"/>
        <v/>
      </c>
      <c r="I494" s="32"/>
    </row>
    <row r="495" spans="1:9">
      <c r="A495" s="39"/>
      <c r="B495" s="32"/>
      <c r="C495" s="32"/>
      <c r="D495" s="32"/>
      <c r="E495" s="32"/>
      <c r="F495" s="43"/>
      <c r="G495" s="32" t="str">
        <f t="shared" ca="1" si="14"/>
        <v/>
      </c>
      <c r="H495" s="45" t="str">
        <f t="shared" ca="1" si="15"/>
        <v/>
      </c>
      <c r="I495" s="32"/>
    </row>
    <row r="496" spans="1:9">
      <c r="A496" s="39"/>
      <c r="B496" s="32"/>
      <c r="C496" s="32"/>
      <c r="D496" s="32"/>
      <c r="E496" s="32"/>
      <c r="F496" s="43"/>
      <c r="G496" s="32" t="str">
        <f t="shared" ca="1" si="14"/>
        <v/>
      </c>
      <c r="H496" s="45" t="str">
        <f t="shared" ca="1" si="15"/>
        <v/>
      </c>
      <c r="I496" s="32"/>
    </row>
    <row r="497" spans="1:9">
      <c r="A497" s="39"/>
      <c r="B497" s="32"/>
      <c r="C497" s="32"/>
      <c r="D497" s="32"/>
      <c r="E497" s="32"/>
      <c r="F497" s="43"/>
      <c r="G497" s="32" t="str">
        <f t="shared" ca="1" si="14"/>
        <v/>
      </c>
      <c r="H497" s="45" t="str">
        <f t="shared" ca="1" si="15"/>
        <v/>
      </c>
      <c r="I497" s="32"/>
    </row>
    <row r="498" spans="1:9">
      <c r="A498" s="39"/>
      <c r="B498" s="32"/>
      <c r="C498" s="32"/>
      <c r="D498" s="32"/>
      <c r="E498" s="32"/>
      <c r="F498" s="43"/>
      <c r="G498" s="32" t="str">
        <f t="shared" ca="1" si="14"/>
        <v/>
      </c>
      <c r="H498" s="45" t="str">
        <f t="shared" ca="1" si="15"/>
        <v/>
      </c>
      <c r="I498" s="32"/>
    </row>
    <row r="499" spans="1:9">
      <c r="A499" s="39"/>
      <c r="B499" s="32"/>
      <c r="C499" s="32"/>
      <c r="D499" s="32"/>
      <c r="E499" s="32"/>
      <c r="F499" s="43"/>
      <c r="G499" s="32" t="str">
        <f t="shared" ca="1" si="14"/>
        <v/>
      </c>
      <c r="H499" s="45" t="str">
        <f t="shared" ca="1" si="15"/>
        <v/>
      </c>
      <c r="I499" s="32"/>
    </row>
    <row r="500" spans="1:9">
      <c r="A500" s="40"/>
      <c r="B500" s="41"/>
      <c r="C500" s="41"/>
      <c r="D500" s="41"/>
      <c r="E500" s="41"/>
      <c r="F500" s="44"/>
      <c r="G500" s="41" t="str">
        <f t="shared" ca="1" si="14"/>
        <v/>
      </c>
      <c r="H500" s="46" t="str">
        <f t="shared" ca="1" si="15"/>
        <v/>
      </c>
      <c r="I500" s="41"/>
    </row>
    <row r="501" spans="1:9">
      <c r="A501" s="8"/>
    </row>
    <row r="502" spans="1:9">
      <c r="A502" s="8"/>
    </row>
    <row r="503" spans="1:9">
      <c r="A503" s="8"/>
    </row>
    <row r="504" spans="1:9">
      <c r="A504" s="8"/>
    </row>
    <row r="505" spans="1:9">
      <c r="A505" s="8"/>
    </row>
  </sheetData>
  <conditionalFormatting sqref="F12:F505">
    <cfRule type="expression" dxfId="12" priority="1">
      <formula>$F12="Cerrada"</formula>
    </cfRule>
    <cfRule type="expression" dxfId="11" priority="2">
      <formula>$F12="Vigente"</formula>
    </cfRule>
    <cfRule type="expression" dxfId="10" priority="3">
      <formula>$F12="Cumple"</formula>
    </cfRule>
    <cfRule type="expression" dxfId="9" priority="4">
      <formula>$F12="Pendiente"</formula>
    </cfRule>
    <cfRule type="expression" dxfId="8" priority="5">
      <formula>$F12="En proceso"</formula>
    </cfRule>
    <cfRule type="expression" dxfId="7" priority="6">
      <formula>$F12="Vencida"</formula>
    </cfRule>
  </conditionalFormatting>
  <conditionalFormatting sqref="G2:G500">
    <cfRule type="expression" dxfId="6" priority="7">
      <formula>G2="Vigente"</formula>
    </cfRule>
    <cfRule type="expression" dxfId="5" priority="8">
      <formula>G2="Por vencer"</formula>
    </cfRule>
    <cfRule type="expression" dxfId="4" priority="9">
      <formula>G2="Vencida"</formula>
    </cfRule>
    <cfRule type="expression" dxfId="3" priority="10">
      <formula>G2="Sin vencimiento"</formula>
    </cfRule>
  </conditionalFormatting>
  <conditionalFormatting sqref="H2:H500">
    <cfRule type="expression" dxfId="2" priority="11">
      <formula>AND(H2&lt;0,H2&lt;&gt;"")</formula>
    </cfRule>
    <cfRule type="expression" dxfId="1" priority="12">
      <formula>AND(H2&gt;=0,H2&lt;=30)</formula>
    </cfRule>
    <cfRule type="expression" dxfId="0" priority="13">
      <formula>H2&gt;30</formula>
    </cfRule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0"/>
  <sheetViews>
    <sheetView workbookViewId="0"/>
  </sheetViews>
  <sheetFormatPr baseColWidth="10" defaultColWidth="8.6640625" defaultRowHeight="14"/>
  <cols>
    <col min="1" max="1" width="31" customWidth="1"/>
    <col min="2" max="2" width="30" customWidth="1"/>
  </cols>
  <sheetData>
    <row r="1" spans="1:2" ht="15.15" customHeight="1">
      <c r="A1" s="5" t="s">
        <v>316</v>
      </c>
      <c r="B1" s="5" t="s">
        <v>317</v>
      </c>
    </row>
    <row r="2" spans="1:2" ht="17.75" customHeight="1">
      <c r="A2" s="6" t="s">
        <v>318</v>
      </c>
      <c r="B2" s="7">
        <v>45017</v>
      </c>
    </row>
    <row r="3" spans="1:2" ht="17.75" customHeight="1">
      <c r="A3" s="6" t="s">
        <v>319</v>
      </c>
      <c r="B3" s="6">
        <v>30</v>
      </c>
    </row>
    <row r="4" spans="1:2" ht="17.75" customHeight="1">
      <c r="A4" s="6" t="s">
        <v>320</v>
      </c>
      <c r="B4" s="6">
        <v>12</v>
      </c>
    </row>
    <row r="5" spans="1:2" ht="17.75" customHeight="1">
      <c r="A5" s="6" t="s">
        <v>321</v>
      </c>
      <c r="B5" s="6">
        <v>4</v>
      </c>
    </row>
    <row r="6" spans="1:2" ht="17.75" customHeight="1">
      <c r="A6" s="6" t="s">
        <v>91</v>
      </c>
      <c r="B6" s="6" t="s">
        <v>322</v>
      </c>
    </row>
    <row r="7" spans="1:2" ht="17.75" customHeight="1">
      <c r="A7" s="6" t="s">
        <v>95</v>
      </c>
      <c r="B7" s="6" t="s">
        <v>323</v>
      </c>
    </row>
    <row r="8" spans="1:2" ht="17.75" customHeight="1">
      <c r="A8" s="6" t="s">
        <v>324</v>
      </c>
      <c r="B8" s="6" t="s">
        <v>188</v>
      </c>
    </row>
    <row r="9" spans="1:2" ht="17.75" customHeight="1">
      <c r="A9" s="6" t="s">
        <v>325</v>
      </c>
      <c r="B9" s="6" t="s">
        <v>118</v>
      </c>
    </row>
    <row r="10" spans="1:2" ht="17.75" customHeight="1">
      <c r="A10" s="6" t="s">
        <v>326</v>
      </c>
      <c r="B10" s="6" t="s">
        <v>327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5"/>
  <sheetViews>
    <sheetView workbookViewId="0"/>
  </sheetViews>
  <sheetFormatPr baseColWidth="10" defaultColWidth="8.6640625" defaultRowHeight="14"/>
  <cols>
    <col min="1" max="1" width="37" customWidth="1"/>
    <col min="2" max="2" width="18" customWidth="1"/>
    <col min="4" max="4" width="28" customWidth="1"/>
    <col min="5" max="5" width="16" customWidth="1"/>
  </cols>
  <sheetData>
    <row r="1" spans="1:8">
      <c r="A1" s="107" t="s">
        <v>328</v>
      </c>
      <c r="B1" s="104"/>
      <c r="C1" s="104"/>
      <c r="D1" s="104"/>
      <c r="E1" s="104"/>
      <c r="F1" s="104"/>
      <c r="G1" s="104"/>
      <c r="H1" s="104"/>
    </row>
    <row r="2" spans="1:8">
      <c r="A2" s="104"/>
      <c r="B2" s="104"/>
      <c r="C2" s="104"/>
      <c r="D2" s="104"/>
      <c r="E2" s="104"/>
      <c r="F2" s="104"/>
      <c r="G2" s="104"/>
      <c r="H2" s="104"/>
    </row>
    <row r="3" spans="1:8">
      <c r="A3" s="108" t="s">
        <v>329</v>
      </c>
      <c r="B3" s="104"/>
      <c r="C3" s="104"/>
      <c r="D3" s="104"/>
      <c r="E3" s="104"/>
      <c r="F3" s="104"/>
      <c r="G3" s="104"/>
      <c r="H3" s="104"/>
    </row>
    <row r="5" spans="1:8">
      <c r="A5" s="2" t="s">
        <v>330</v>
      </c>
      <c r="B5" s="2" t="s">
        <v>317</v>
      </c>
      <c r="D5" s="2" t="s">
        <v>331</v>
      </c>
      <c r="E5" s="2" t="s">
        <v>332</v>
      </c>
    </row>
    <row r="6" spans="1:8">
      <c r="A6" s="3" t="s">
        <v>333</v>
      </c>
      <c r="B6" s="3">
        <f ca="1">TODAY()-Configuracion!B2</f>
        <v>1200</v>
      </c>
      <c r="D6" s="3" t="s">
        <v>31</v>
      </c>
      <c r="E6" s="3">
        <f>B7</f>
        <v>5</v>
      </c>
    </row>
    <row r="7" spans="1:8">
      <c r="A7" s="3" t="s">
        <v>334</v>
      </c>
      <c r="B7" s="3">
        <f>COUNTA(PRG_SSO_2026!A2:A500)</f>
        <v>5</v>
      </c>
      <c r="D7" s="3" t="s">
        <v>34</v>
      </c>
      <c r="E7" s="3">
        <f>B9</f>
        <v>5</v>
      </c>
    </row>
    <row r="8" spans="1:8">
      <c r="A8" s="3" t="s">
        <v>335</v>
      </c>
      <c r="B8" s="13">
        <f>IFERROR(AVERAGE(PRG_SSO_2026!I2:I500),0)</f>
        <v>60</v>
      </c>
      <c r="D8" s="3" t="s">
        <v>336</v>
      </c>
      <c r="E8" s="3">
        <f>B10</f>
        <v>0</v>
      </c>
    </row>
    <row r="9" spans="1:8">
      <c r="A9" s="3" t="s">
        <v>337</v>
      </c>
      <c r="B9" s="3">
        <f>COUNTA(Reportabilidad!A2:A500)</f>
        <v>5</v>
      </c>
      <c r="D9" s="3" t="s">
        <v>338</v>
      </c>
      <c r="E9" s="3">
        <f>B11</f>
        <v>5</v>
      </c>
    </row>
    <row r="10" spans="1:8">
      <c r="A10" s="3" t="s">
        <v>36</v>
      </c>
      <c r="B10" s="3">
        <f>COUNTA(Observaciones_SSO_BAPP!A10:A503)</f>
        <v>0</v>
      </c>
      <c r="D10" s="3" t="s">
        <v>42</v>
      </c>
      <c r="E10" s="3">
        <f>COUNTA(Control_Operacional!A2:A500)</f>
        <v>5</v>
      </c>
    </row>
    <row r="11" spans="1:8">
      <c r="A11" s="3" t="s">
        <v>339</v>
      </c>
      <c r="B11" s="3">
        <f>COUNTA(Inspecciones_Seguridad!A2:A500)</f>
        <v>5</v>
      </c>
      <c r="D11" s="3" t="s">
        <v>55</v>
      </c>
      <c r="E11" s="3">
        <f>COUNTA(Certificaciones!A2:A505)</f>
        <v>10</v>
      </c>
    </row>
    <row r="12" spans="1:8">
      <c r="A12" s="3" t="s">
        <v>340</v>
      </c>
      <c r="B12" s="3">
        <f>COUNTIF(Control_Operacional!H2:H500,"Pendiente")+COUNTIF(Control_Operacional!H2:H500,"En proceso")+COUNTIF(Control_Operacional!H2:H500,"Vencida")</f>
        <v>4</v>
      </c>
    </row>
    <row r="13" spans="1:8">
      <c r="A13" s="3" t="s">
        <v>341</v>
      </c>
      <c r="B13" s="3">
        <f>COUNTIF(Capacitaciones!H2:H500,"Cerrada")</f>
        <v>5</v>
      </c>
    </row>
    <row r="14" spans="1:8">
      <c r="A14" s="3" t="s">
        <v>342</v>
      </c>
      <c r="B14" s="3">
        <f>COUNTIF(Protocolos_MINSAL!J2:J500,"Pendiente")+COUNTIF(Protocolos_MINSAL!J2:J500,"En proceso")+COUNTIF(Protocolos_MINSAL!J2:J500,"Vencida")</f>
        <v>3</v>
      </c>
    </row>
    <row r="15" spans="1:8">
      <c r="A15" s="3" t="s">
        <v>343</v>
      </c>
      <c r="B15" s="3">
        <f ca="1">COUNTIF(Certificaciones!G2:G500,"Vencida")</f>
        <v>0</v>
      </c>
    </row>
  </sheetData>
  <mergeCells count="2">
    <mergeCell ref="A1:H2"/>
    <mergeCell ref="A3:H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657AED-21AA-4C52-8C1D-E7D06F1F62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Inicio</vt:lpstr>
      <vt:lpstr>Listas</vt:lpstr>
      <vt:lpstr>PRG_SSO_2026</vt:lpstr>
      <vt:lpstr>Reportabilidad</vt:lpstr>
      <vt:lpstr>Observaciones_SSO_BAPP</vt:lpstr>
      <vt:lpstr>Inspecciones_Seguridad</vt:lpstr>
      <vt:lpstr>Control_Operacional</vt:lpstr>
      <vt:lpstr>Capacitaciones</vt:lpstr>
      <vt:lpstr>Reconocimientos</vt:lpstr>
      <vt:lpstr>Comite_Paritario</vt:lpstr>
      <vt:lpstr>Protocolos_MINSAL</vt:lpstr>
      <vt:lpstr>Certificaciones</vt:lpstr>
      <vt:lpstr>Configuracion</vt:lpstr>
      <vt:lpstr>KPI_SSO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GREZ TOLOZA</cp:lastModifiedBy>
  <dcterms:created xsi:type="dcterms:W3CDTF">2026-07-13T22:02:32Z</dcterms:created>
  <dcterms:modified xsi:type="dcterms:W3CDTF">2026-07-14T18:50:36Z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4e9a4a-eb20-4aad-9a64-8872817c1a6f_Enabled">
    <vt:lpwstr>true</vt:lpwstr>
  </property>
  <property fmtid="{D5CDD505-2E9C-101B-9397-08002B2CF9AE}" pid="3" name="MSIP_Label_9f4e9a4a-eb20-4aad-9a64-8872817c1a6f_SetDate">
    <vt:lpwstr>2026-07-13T22:02:25Z</vt:lpwstr>
  </property>
  <property fmtid="{D5CDD505-2E9C-101B-9397-08002B2CF9AE}" pid="4" name="MSIP_Label_9f4e9a4a-eb20-4aad-9a64-8872817c1a6f_Method">
    <vt:lpwstr>Standard</vt:lpwstr>
  </property>
  <property fmtid="{D5CDD505-2E9C-101B-9397-08002B2CF9AE}" pid="5" name="MSIP_Label_9f4e9a4a-eb20-4aad-9a64-8872817c1a6f_Name">
    <vt:lpwstr>defa4170-0d19-0005-0004-bc88714345d2</vt:lpwstr>
  </property>
  <property fmtid="{D5CDD505-2E9C-101B-9397-08002B2CF9AE}" pid="6" name="MSIP_Label_9f4e9a4a-eb20-4aad-9a64-8872817c1a6f_SiteId">
    <vt:lpwstr>7a599002-001c-432c-846e-1ddca9f6b299</vt:lpwstr>
  </property>
  <property fmtid="{D5CDD505-2E9C-101B-9397-08002B2CF9AE}" pid="7" name="MSIP_Label_9f4e9a4a-eb20-4aad-9a64-8872817c1a6f_ActionId">
    <vt:lpwstr>cdfbb4c4-cfec-40d7-a778-8558fda96140</vt:lpwstr>
  </property>
  <property fmtid="{D5CDD505-2E9C-101B-9397-08002B2CF9AE}" pid="8" name="MSIP_Label_9f4e9a4a-eb20-4aad-9a64-8872817c1a6f_ContentBits">
    <vt:lpwstr>0</vt:lpwstr>
  </property>
  <property fmtid="{D5CDD505-2E9C-101B-9397-08002B2CF9AE}" pid="9" name="MSIP_Label_9f4e9a4a-eb20-4aad-9a64-8872817c1a6f_Tag">
    <vt:lpwstr>10, 3, 0, 1</vt:lpwstr>
  </property>
</Properties>
</file>